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esktop\Matheus\TCC.PROJ\"/>
    </mc:Choice>
  </mc:AlternateContent>
  <xr:revisionPtr revIDLastSave="0" documentId="13_ncr:1_{E3376C90-9762-4CEF-831F-B8CF1F50259C}" xr6:coauthVersionLast="47" xr6:coauthVersionMax="47" xr10:uidLastSave="{00000000-0000-0000-0000-000000000000}"/>
  <bookViews>
    <workbookView xWindow="-120" yWindow="-120" windowWidth="20730" windowHeight="11040" xr2:uid="{65C2CE75-7BF8-4D53-BDEF-B3C32917C493}"/>
  </bookViews>
  <sheets>
    <sheet name="Tokens Totais(Geral)" sheetId="2" r:id="rId1"/>
    <sheet name="Tokens Totais Python" sheetId="7" r:id="rId2"/>
    <sheet name="Postman Token" sheetId="5" r:id="rId3"/>
    <sheet name="Latencia(ms)(geral)" sheetId="1" r:id="rId4"/>
    <sheet name="Teste Python(ms)" sheetId="6" r:id="rId5"/>
    <sheet name="Postman(ms)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3" i="1" l="1"/>
  <c r="AI11" i="1"/>
  <c r="AG8" i="6"/>
  <c r="AG7" i="6"/>
  <c r="AG6" i="6"/>
  <c r="AG5" i="6"/>
  <c r="AG4" i="6"/>
  <c r="AI13" i="2"/>
  <c r="AI11" i="2"/>
  <c r="AI9" i="2"/>
  <c r="AI7" i="2"/>
  <c r="AI4" i="1"/>
  <c r="AI5" i="1"/>
  <c r="AI6" i="1"/>
  <c r="AI7" i="1"/>
  <c r="AI8" i="1"/>
  <c r="AI9" i="1"/>
  <c r="AI10" i="1"/>
  <c r="AI12" i="1"/>
  <c r="AG8" i="7"/>
  <c r="AG7" i="7"/>
  <c r="AG6" i="7"/>
  <c r="AG5" i="7"/>
  <c r="AG4" i="7"/>
  <c r="AI5" i="2"/>
  <c r="AI8" i="5"/>
  <c r="AI7" i="5"/>
  <c r="AI6" i="5"/>
  <c r="AI5" i="5"/>
  <c r="AI4" i="5"/>
  <c r="AJ9" i="4"/>
  <c r="AJ8" i="4"/>
  <c r="AJ7" i="4"/>
  <c r="AJ6" i="4"/>
  <c r="AJ5" i="4"/>
  <c r="AK4" i="1"/>
  <c r="AI12" i="2"/>
  <c r="AI10" i="2"/>
  <c r="AI8" i="2"/>
  <c r="AI6" i="2"/>
  <c r="AI4" i="2"/>
</calcChain>
</file>

<file path=xl/sharedStrings.xml><?xml version="1.0" encoding="utf-8"?>
<sst xmlns="http://schemas.openxmlformats.org/spreadsheetml/2006/main" count="340" uniqueCount="58">
  <si>
    <t>POSTMAN -SEM RAG</t>
  </si>
  <si>
    <t>LLM</t>
  </si>
  <si>
    <t>Versão</t>
  </si>
  <si>
    <t>Gemini</t>
  </si>
  <si>
    <t>2.5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</si>
  <si>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</si>
  <si>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</si>
  <si>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</si>
  <si>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</si>
  <si>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</si>
  <si>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</si>
  <si>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</si>
  <si>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</si>
  <si>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</si>
  <si>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</si>
  <si>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</si>
  <si>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</si>
  <si>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</si>
  <si>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</si>
  <si>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</si>
  <si>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</si>
  <si>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</si>
  <si>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</si>
  <si>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</si>
  <si>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</si>
  <si>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</si>
  <si>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</si>
  <si>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</si>
  <si>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</si>
  <si>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</si>
  <si>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</si>
  <si>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</si>
  <si>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</si>
  <si>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</si>
  <si>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</si>
  <si>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MÉDIA</t>
  </si>
  <si>
    <t>TIPO</t>
  </si>
  <si>
    <t>RAG - PYTHON</t>
  </si>
  <si>
    <t>OPEN AI</t>
  </si>
  <si>
    <t>MED</t>
  </si>
  <si>
    <t>3.5</t>
  </si>
  <si>
    <t>4.o</t>
  </si>
  <si>
    <t>DEEP SEEK</t>
  </si>
  <si>
    <t>(envia o JSON) -p/ resposta</t>
  </si>
  <si>
    <t>2.0</t>
  </si>
  <si>
    <t>chat</t>
  </si>
  <si>
    <t>TESTES</t>
  </si>
  <si>
    <t>TOKENS TOTAIS</t>
  </si>
  <si>
    <t>RESULTADO MÉDIO(ms)</t>
  </si>
  <si>
    <t>Modelo</t>
  </si>
  <si>
    <t>Gemini 2.0</t>
  </si>
  <si>
    <t>Gemini 2.5</t>
  </si>
  <si>
    <t>OPEN AI 3.5</t>
  </si>
  <si>
    <t>OPEN AI 4.o</t>
  </si>
  <si>
    <t>DEEP SEEK chat</t>
  </si>
  <si>
    <t>Tempo Médio</t>
  </si>
  <si>
    <t>Tokens médios por resposta</t>
  </si>
  <si>
    <t>Média latência(ms)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</si>
</sst>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Teste Python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'Teste Python(ms)'!$A$4:$B$4</c:f>
              <c:strCache>
                <c:ptCount val="2"/>
                <c:pt idx="0">
                  <c:v>Gemini 2.0</c:v>
                </c:pt>
                <c:pt idx="1">
                  <c:v>RAG - PYTHON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'Teste Python(ms)'!$C$3:$Q$3</c:f>
              <c:strCache>
                <c:ptCount val="1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</c:strCache>
            </c:strRef>
          </c:cat>
          <c:val>
            <c:numRef>
              <c:f>'Teste Python(ms)'!$C$4:$Q$4</c:f>
              <c:numCache>
                <c:formatCode>#,##0</c:formatCode>
                <c:ptCount val="15"/>
                <c:pt idx="0" formatCode="General">
                  <c:v>865</c:v>
                </c:pt>
                <c:pt idx="1">
                  <c:v>1838</c:v>
                </c:pt>
                <c:pt idx="2">
                  <c:v>1627</c:v>
                </c:pt>
                <c:pt idx="3" formatCode="General">
                  <c:v>727</c:v>
                </c:pt>
                <c:pt idx="4">
                  <c:v>1379</c:v>
                </c:pt>
                <c:pt idx="5">
                  <c:v>1111</c:v>
                </c:pt>
                <c:pt idx="6">
                  <c:v>1113</c:v>
                </c:pt>
                <c:pt idx="7">
                  <c:v>1429</c:v>
                </c:pt>
                <c:pt idx="8">
                  <c:v>1498</c:v>
                </c:pt>
                <c:pt idx="9">
                  <c:v>1356</c:v>
                </c:pt>
                <c:pt idx="10" formatCode="General">
                  <c:v>769</c:v>
                </c:pt>
                <c:pt idx="11" formatCode="General">
                  <c:v>955</c:v>
                </c:pt>
                <c:pt idx="12">
                  <c:v>1275</c:v>
                </c:pt>
                <c:pt idx="13" formatCode="General">
                  <c:v>834</c:v>
                </c:pt>
                <c:pt idx="14">
                  <c:v>1402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1-4D03-84B8-BC0D3BB12648}"/>
            </c:ext>
          </c:extLst>
        </c:ser>
        <c:ser>
          <c:idx val="1"/>
          <c:order val="1"/>
          <c:tx>
            <c:strRef>
              <c:f>'Teste Python(ms)'!$A$5:$B$5</c:f>
              <c:strCache>
                <c:ptCount val="2"/>
                <c:pt idx="0">
                  <c:v>Gemini 2.5</c:v>
                </c:pt>
                <c:pt idx="1">
                  <c:v>RAG - PYTHON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'Teste Python(ms)'!$C$3:$Q$3</c:f>
              <c:strCache>
                <c:ptCount val="1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</c:strCache>
            </c:strRef>
          </c:cat>
          <c:val>
            <c:numRef>
              <c:f>'Teste Python(ms)'!$C$5:$Q$5</c:f>
              <c:numCache>
                <c:formatCode>#,##0</c:formatCode>
                <c:ptCount val="15"/>
                <c:pt idx="0">
                  <c:v>1229</c:v>
                </c:pt>
                <c:pt idx="1">
                  <c:v>1376</c:v>
                </c:pt>
                <c:pt idx="2" formatCode="General">
                  <c:v>1330</c:v>
                </c:pt>
                <c:pt idx="3" formatCode="General">
                  <c:v>1630</c:v>
                </c:pt>
                <c:pt idx="4">
                  <c:v>1023</c:v>
                </c:pt>
                <c:pt idx="5">
                  <c:v>2739</c:v>
                </c:pt>
                <c:pt idx="6">
                  <c:v>1104</c:v>
                </c:pt>
                <c:pt idx="7">
                  <c:v>2859</c:v>
                </c:pt>
                <c:pt idx="8" formatCode="General">
                  <c:v>919</c:v>
                </c:pt>
                <c:pt idx="9">
                  <c:v>1882</c:v>
                </c:pt>
                <c:pt idx="10">
                  <c:v>1144</c:v>
                </c:pt>
                <c:pt idx="11">
                  <c:v>1003</c:v>
                </c:pt>
                <c:pt idx="12">
                  <c:v>1069</c:v>
                </c:pt>
                <c:pt idx="13">
                  <c:v>1168</c:v>
                </c:pt>
                <c:pt idx="14">
                  <c:v>1076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61-4D03-84B8-BC0D3BB12648}"/>
            </c:ext>
          </c:extLst>
        </c:ser>
        <c:ser>
          <c:idx val="2"/>
          <c:order val="2"/>
          <c:tx>
            <c:strRef>
              <c:f>'Teste Python(ms)'!$A$6:$B$6</c:f>
              <c:strCache>
                <c:ptCount val="2"/>
                <c:pt idx="0">
                  <c:v>OPEN AI 3.5</c:v>
                </c:pt>
                <c:pt idx="1">
                  <c:v>RAG - PYTHON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'Teste Python(ms)'!$C$3:$Q$3</c:f>
              <c:strCache>
                <c:ptCount val="1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</c:strCache>
            </c:strRef>
          </c:cat>
          <c:val>
            <c:numRef>
              <c:f>'Teste Python(ms)'!$C$6:$Q$6</c:f>
              <c:numCache>
                <c:formatCode>General</c:formatCode>
                <c:ptCount val="15"/>
                <c:pt idx="0">
                  <c:v>755</c:v>
                </c:pt>
                <c:pt idx="1">
                  <c:v>521</c:v>
                </c:pt>
                <c:pt idx="2">
                  <c:v>614</c:v>
                </c:pt>
                <c:pt idx="3">
                  <c:v>567</c:v>
                </c:pt>
                <c:pt idx="4">
                  <c:v>529</c:v>
                </c:pt>
                <c:pt idx="5">
                  <c:v>487</c:v>
                </c:pt>
                <c:pt idx="6">
                  <c:v>690</c:v>
                </c:pt>
                <c:pt idx="7" formatCode="#,##0">
                  <c:v>1004</c:v>
                </c:pt>
                <c:pt idx="8">
                  <c:v>634</c:v>
                </c:pt>
                <c:pt idx="9" formatCode="#,##0">
                  <c:v>1063</c:v>
                </c:pt>
                <c:pt idx="10">
                  <c:v>584</c:v>
                </c:pt>
                <c:pt idx="11">
                  <c:v>545</c:v>
                </c:pt>
                <c:pt idx="12">
                  <c:v>1010</c:v>
                </c:pt>
                <c:pt idx="13">
                  <c:v>340</c:v>
                </c:pt>
                <c:pt idx="14">
                  <c:v>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61-4D03-84B8-BC0D3BB12648}"/>
            </c:ext>
          </c:extLst>
        </c:ser>
        <c:ser>
          <c:idx val="3"/>
          <c:order val="3"/>
          <c:tx>
            <c:strRef>
              <c:f>'Teste Python(ms)'!$A$7:$B$7</c:f>
              <c:strCache>
                <c:ptCount val="2"/>
                <c:pt idx="0">
                  <c:v>OPEN AI 4.o</c:v>
                </c:pt>
                <c:pt idx="1">
                  <c:v>RAG - PYTHON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'Teste Python(ms)'!$C$3:$Q$3</c:f>
              <c:strCache>
                <c:ptCount val="1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</c:strCache>
            </c:strRef>
          </c:cat>
          <c:val>
            <c:numRef>
              <c:f>'Teste Python(ms)'!$C$7:$Q$7</c:f>
              <c:numCache>
                <c:formatCode>General</c:formatCode>
                <c:ptCount val="15"/>
                <c:pt idx="0" formatCode="#,##0">
                  <c:v>1791</c:v>
                </c:pt>
                <c:pt idx="1">
                  <c:v>936</c:v>
                </c:pt>
                <c:pt idx="2" formatCode="#,##0">
                  <c:v>1499</c:v>
                </c:pt>
                <c:pt idx="3">
                  <c:v>920</c:v>
                </c:pt>
                <c:pt idx="4" formatCode="#,##0">
                  <c:v>1211</c:v>
                </c:pt>
                <c:pt idx="5" formatCode="#,##0">
                  <c:v>1147</c:v>
                </c:pt>
                <c:pt idx="6" formatCode="#,##0">
                  <c:v>1611</c:v>
                </c:pt>
                <c:pt idx="7" formatCode="#,##0">
                  <c:v>1434</c:v>
                </c:pt>
                <c:pt idx="8" formatCode="#,##0">
                  <c:v>1245</c:v>
                </c:pt>
                <c:pt idx="9">
                  <c:v>3570</c:v>
                </c:pt>
                <c:pt idx="10" formatCode="#,##0">
                  <c:v>1374</c:v>
                </c:pt>
                <c:pt idx="11">
                  <c:v>838</c:v>
                </c:pt>
                <c:pt idx="12" formatCode="#,##0">
                  <c:v>2152</c:v>
                </c:pt>
                <c:pt idx="13" formatCode="#,##0">
                  <c:v>1205</c:v>
                </c:pt>
                <c:pt idx="14" formatCode="#,##0">
                  <c:v>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61-4D03-84B8-BC0D3BB12648}"/>
            </c:ext>
          </c:extLst>
        </c:ser>
        <c:ser>
          <c:idx val="4"/>
          <c:order val="4"/>
          <c:tx>
            <c:strRef>
              <c:f>'Teste Python(ms)'!$A$8:$B$8</c:f>
              <c:strCache>
                <c:ptCount val="2"/>
                <c:pt idx="0">
                  <c:v>DEEP SEEK chat</c:v>
                </c:pt>
                <c:pt idx="1">
                  <c:v>RAG - PYTHON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'Teste Python(ms)'!$C$3:$Q$3</c:f>
              <c:strCache>
                <c:ptCount val="1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</c:strCache>
            </c:strRef>
          </c:cat>
          <c:val>
            <c:numRef>
              <c:f>'Teste Python(ms)'!$C$8:$Q$8</c:f>
              <c:numCache>
                <c:formatCode>#,##0</c:formatCode>
                <c:ptCount val="15"/>
                <c:pt idx="0">
                  <c:v>2214</c:v>
                </c:pt>
                <c:pt idx="1">
                  <c:v>1539</c:v>
                </c:pt>
                <c:pt idx="2" formatCode="General">
                  <c:v>1540</c:v>
                </c:pt>
                <c:pt idx="3">
                  <c:v>1525</c:v>
                </c:pt>
                <c:pt idx="4">
                  <c:v>1642</c:v>
                </c:pt>
                <c:pt idx="5">
                  <c:v>1827</c:v>
                </c:pt>
                <c:pt idx="6">
                  <c:v>2241</c:v>
                </c:pt>
                <c:pt idx="7">
                  <c:v>1942</c:v>
                </c:pt>
                <c:pt idx="8">
                  <c:v>1955</c:v>
                </c:pt>
                <c:pt idx="9">
                  <c:v>3187</c:v>
                </c:pt>
                <c:pt idx="10" formatCode="General">
                  <c:v>1500</c:v>
                </c:pt>
                <c:pt idx="11">
                  <c:v>1983</c:v>
                </c:pt>
                <c:pt idx="12">
                  <c:v>2006</c:v>
                </c:pt>
                <c:pt idx="13">
                  <c:v>1483</c:v>
                </c:pt>
                <c:pt idx="14">
                  <c:v>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61-4D03-84B8-BC0D3BB12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320879"/>
        <c:axId val="785321359"/>
      </c:lineChart>
      <c:catAx>
        <c:axId val="7853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5321359"/>
        <c:crosses val="autoZero"/>
        <c:auto val="1"/>
        <c:lblAlgn val="ctr"/>
        <c:lblOffset val="100"/>
        <c:noMultiLvlLbl val="0"/>
      </c:catAx>
      <c:valAx>
        <c:axId val="78532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53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Teste Postman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'Postman(ms)'!$B$5:$E$5</c:f>
              <c:strCache>
                <c:ptCount val="4"/>
                <c:pt idx="0">
                  <c:v>Gemini</c:v>
                </c:pt>
                <c:pt idx="1">
                  <c:v>2.0</c:v>
                </c:pt>
                <c:pt idx="2">
                  <c:v>(envia o JSON) -p/ resposta</c:v>
                </c:pt>
                <c:pt idx="3">
                  <c:v>POSTMAN -SEM RAG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'Postman(ms)'!$F$4:$T$4</c:f>
              <c:strCache>
                <c:ptCount val="1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</c:strCache>
            </c:strRef>
          </c:cat>
          <c:val>
            <c:numRef>
              <c:f>'Postman(ms)'!$F$5:$T$5</c:f>
              <c:numCache>
                <c:formatCode>General</c:formatCode>
                <c:ptCount val="15"/>
                <c:pt idx="0">
                  <c:v>1310</c:v>
                </c:pt>
                <c:pt idx="1">
                  <c:v>836</c:v>
                </c:pt>
                <c:pt idx="2">
                  <c:v>1330</c:v>
                </c:pt>
                <c:pt idx="3">
                  <c:v>1540</c:v>
                </c:pt>
                <c:pt idx="4">
                  <c:v>932</c:v>
                </c:pt>
                <c:pt idx="5">
                  <c:v>863</c:v>
                </c:pt>
                <c:pt idx="6">
                  <c:v>1310</c:v>
                </c:pt>
                <c:pt idx="7">
                  <c:v>1000</c:v>
                </c:pt>
                <c:pt idx="8">
                  <c:v>924</c:v>
                </c:pt>
                <c:pt idx="9">
                  <c:v>1800</c:v>
                </c:pt>
                <c:pt idx="10">
                  <c:v>1780</c:v>
                </c:pt>
                <c:pt idx="11">
                  <c:v>887</c:v>
                </c:pt>
                <c:pt idx="12">
                  <c:v>2009.9999999999998</c:v>
                </c:pt>
                <c:pt idx="13">
                  <c:v>1450</c:v>
                </c:pt>
                <c:pt idx="14">
                  <c:v>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C-48E5-A4C6-DF521322DEB3}"/>
            </c:ext>
          </c:extLst>
        </c:ser>
        <c:ser>
          <c:idx val="1"/>
          <c:order val="1"/>
          <c:tx>
            <c:strRef>
              <c:f>'Postman(ms)'!$B$6:$E$6</c:f>
              <c:strCache>
                <c:ptCount val="4"/>
                <c:pt idx="0">
                  <c:v>Gemini</c:v>
                </c:pt>
                <c:pt idx="1">
                  <c:v>2.5</c:v>
                </c:pt>
                <c:pt idx="2">
                  <c:v>(envia o JSON) -p/ resposta</c:v>
                </c:pt>
                <c:pt idx="3">
                  <c:v>POSTMAN -SEM RAG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'Postman(ms)'!$F$4:$T$4</c:f>
              <c:strCache>
                <c:ptCount val="1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</c:strCache>
            </c:strRef>
          </c:cat>
          <c:val>
            <c:numRef>
              <c:f>'Postman(ms)'!$F$6:$T$6</c:f>
              <c:numCache>
                <c:formatCode>General</c:formatCode>
                <c:ptCount val="15"/>
                <c:pt idx="0">
                  <c:v>2290</c:v>
                </c:pt>
                <c:pt idx="1">
                  <c:v>3480</c:v>
                </c:pt>
                <c:pt idx="2">
                  <c:v>2140</c:v>
                </c:pt>
                <c:pt idx="3">
                  <c:v>2600</c:v>
                </c:pt>
                <c:pt idx="4">
                  <c:v>1860</c:v>
                </c:pt>
                <c:pt idx="5">
                  <c:v>1570</c:v>
                </c:pt>
                <c:pt idx="6">
                  <c:v>3020</c:v>
                </c:pt>
                <c:pt idx="7">
                  <c:v>1270</c:v>
                </c:pt>
                <c:pt idx="8">
                  <c:v>3360</c:v>
                </c:pt>
                <c:pt idx="9">
                  <c:v>1250</c:v>
                </c:pt>
                <c:pt idx="10">
                  <c:v>1670</c:v>
                </c:pt>
                <c:pt idx="11">
                  <c:v>1550</c:v>
                </c:pt>
                <c:pt idx="12">
                  <c:v>1340</c:v>
                </c:pt>
                <c:pt idx="13">
                  <c:v>1220</c:v>
                </c:pt>
                <c:pt idx="14">
                  <c:v>2620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C-48E5-A4C6-DF521322DEB3}"/>
            </c:ext>
          </c:extLst>
        </c:ser>
        <c:ser>
          <c:idx val="2"/>
          <c:order val="2"/>
          <c:tx>
            <c:strRef>
              <c:f>'Postman(ms)'!$B$7:$E$7</c:f>
              <c:strCache>
                <c:ptCount val="4"/>
                <c:pt idx="0">
                  <c:v>OPEN AI</c:v>
                </c:pt>
                <c:pt idx="1">
                  <c:v>3.5</c:v>
                </c:pt>
                <c:pt idx="2">
                  <c:v>(envia o JSON) -p/ resposta</c:v>
                </c:pt>
                <c:pt idx="3">
                  <c:v>POSTMAN -SEM RAG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'Postman(ms)'!$F$4:$T$4</c:f>
              <c:strCache>
                <c:ptCount val="1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</c:strCache>
            </c:strRef>
          </c:cat>
          <c:val>
            <c:numRef>
              <c:f>'Postman(ms)'!$F$7:$T$7</c:f>
              <c:numCache>
                <c:formatCode>General</c:formatCode>
                <c:ptCount val="15"/>
                <c:pt idx="0">
                  <c:v>705</c:v>
                </c:pt>
                <c:pt idx="1">
                  <c:v>1320</c:v>
                </c:pt>
                <c:pt idx="2">
                  <c:v>1470</c:v>
                </c:pt>
                <c:pt idx="3">
                  <c:v>1290</c:v>
                </c:pt>
                <c:pt idx="4">
                  <c:v>1890</c:v>
                </c:pt>
                <c:pt idx="5">
                  <c:v>674</c:v>
                </c:pt>
                <c:pt idx="6">
                  <c:v>845</c:v>
                </c:pt>
                <c:pt idx="7">
                  <c:v>726</c:v>
                </c:pt>
                <c:pt idx="8">
                  <c:v>1080</c:v>
                </c:pt>
                <c:pt idx="9">
                  <c:v>1850</c:v>
                </c:pt>
                <c:pt idx="10">
                  <c:v>856</c:v>
                </c:pt>
                <c:pt idx="11">
                  <c:v>1750</c:v>
                </c:pt>
                <c:pt idx="12">
                  <c:v>1070</c:v>
                </c:pt>
                <c:pt idx="13">
                  <c:v>1150</c:v>
                </c:pt>
                <c:pt idx="14">
                  <c:v>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5C-48E5-A4C6-DF521322DEB3}"/>
            </c:ext>
          </c:extLst>
        </c:ser>
        <c:ser>
          <c:idx val="3"/>
          <c:order val="3"/>
          <c:tx>
            <c:strRef>
              <c:f>'Postman(ms)'!$B$8:$E$8</c:f>
              <c:strCache>
                <c:ptCount val="4"/>
                <c:pt idx="0">
                  <c:v>OPEN AI</c:v>
                </c:pt>
                <c:pt idx="1">
                  <c:v>4.o</c:v>
                </c:pt>
                <c:pt idx="2">
                  <c:v>(envia o JSON) -p/ resposta</c:v>
                </c:pt>
                <c:pt idx="3">
                  <c:v>POSTMAN -SEM RAG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'Postman(ms)'!$F$4:$T$4</c:f>
              <c:strCache>
                <c:ptCount val="1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</c:strCache>
            </c:strRef>
          </c:cat>
          <c:val>
            <c:numRef>
              <c:f>'Postman(ms)'!$F$8:$T$8</c:f>
              <c:numCache>
                <c:formatCode>General</c:formatCode>
                <c:ptCount val="15"/>
                <c:pt idx="0">
                  <c:v>1400</c:v>
                </c:pt>
                <c:pt idx="1">
                  <c:v>2150</c:v>
                </c:pt>
                <c:pt idx="2">
                  <c:v>1390</c:v>
                </c:pt>
                <c:pt idx="3">
                  <c:v>2760</c:v>
                </c:pt>
                <c:pt idx="4">
                  <c:v>2190</c:v>
                </c:pt>
                <c:pt idx="5">
                  <c:v>2040</c:v>
                </c:pt>
                <c:pt idx="6">
                  <c:v>1400</c:v>
                </c:pt>
                <c:pt idx="7">
                  <c:v>1410</c:v>
                </c:pt>
                <c:pt idx="8">
                  <c:v>1910</c:v>
                </c:pt>
                <c:pt idx="9">
                  <c:v>1920</c:v>
                </c:pt>
                <c:pt idx="10">
                  <c:v>1550</c:v>
                </c:pt>
                <c:pt idx="11">
                  <c:v>1000</c:v>
                </c:pt>
                <c:pt idx="12">
                  <c:v>1800</c:v>
                </c:pt>
                <c:pt idx="13">
                  <c:v>1610</c:v>
                </c:pt>
                <c:pt idx="14">
                  <c:v>1180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5C-48E5-A4C6-DF521322DEB3}"/>
            </c:ext>
          </c:extLst>
        </c:ser>
        <c:ser>
          <c:idx val="4"/>
          <c:order val="4"/>
          <c:tx>
            <c:strRef>
              <c:f>'Postman(ms)'!$B$9:$E$9</c:f>
              <c:strCache>
                <c:ptCount val="4"/>
                <c:pt idx="0">
                  <c:v>DEEP SEEK</c:v>
                </c:pt>
                <c:pt idx="1">
                  <c:v>chat</c:v>
                </c:pt>
                <c:pt idx="2">
                  <c:v>(envia o JSON) -p/ resposta</c:v>
                </c:pt>
                <c:pt idx="3">
                  <c:v>POSTMAN -SEM RAG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'Postman(ms)'!$F$4:$T$4</c:f>
              <c:strCache>
                <c:ptCount val="1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</c:strCache>
            </c:strRef>
          </c:cat>
          <c:val>
            <c:numRef>
              <c:f>'Postman(ms)'!$F$9:$T$9</c:f>
              <c:numCache>
                <c:formatCode>General</c:formatCode>
                <c:ptCount val="15"/>
                <c:pt idx="0">
                  <c:v>2790</c:v>
                </c:pt>
                <c:pt idx="1">
                  <c:v>2610</c:v>
                </c:pt>
                <c:pt idx="2">
                  <c:v>3850</c:v>
                </c:pt>
                <c:pt idx="3">
                  <c:v>2680</c:v>
                </c:pt>
                <c:pt idx="4">
                  <c:v>3160</c:v>
                </c:pt>
                <c:pt idx="5">
                  <c:v>3210</c:v>
                </c:pt>
                <c:pt idx="6">
                  <c:v>3780</c:v>
                </c:pt>
                <c:pt idx="7">
                  <c:v>3560</c:v>
                </c:pt>
                <c:pt idx="8">
                  <c:v>2800</c:v>
                </c:pt>
                <c:pt idx="9">
                  <c:v>4440</c:v>
                </c:pt>
                <c:pt idx="10">
                  <c:v>2620</c:v>
                </c:pt>
                <c:pt idx="11">
                  <c:v>2710</c:v>
                </c:pt>
                <c:pt idx="12">
                  <c:v>2990</c:v>
                </c:pt>
                <c:pt idx="13">
                  <c:v>2770</c:v>
                </c:pt>
                <c:pt idx="14">
                  <c:v>2890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5C-48E5-A4C6-DF521322D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200607"/>
        <c:axId val="573224607"/>
      </c:lineChart>
      <c:catAx>
        <c:axId val="5732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3224607"/>
        <c:crosses val="autoZero"/>
        <c:auto val="1"/>
        <c:lblAlgn val="ctr"/>
        <c:lblOffset val="100"/>
        <c:noMultiLvlLbl val="0"/>
      </c:catAx>
      <c:valAx>
        <c:axId val="57322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320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8</xdr:row>
      <xdr:rowOff>185737</xdr:rowOff>
    </xdr:from>
    <xdr:to>
      <xdr:col>11</xdr:col>
      <xdr:colOff>523875</xdr:colOff>
      <xdr:row>23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F01FE0-D1C4-614B-4503-3C596C80A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644339</xdr:colOff>
      <xdr:row>11</xdr:row>
      <xdr:rowOff>64339</xdr:rowOff>
    </xdr:from>
    <xdr:to>
      <xdr:col>13</xdr:col>
      <xdr:colOff>130736</xdr:colOff>
      <xdr:row>25</xdr:row>
      <xdr:rowOff>136804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3B898C-8DD6-BCF0-A823-891427985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56F0-E64D-49B8-A407-AB5AEA512F87}">
  <dimension ref="A1:AI13"/>
  <sheetViews>
    <sheetView tabSelected="1" topLeftCell="N1" workbookViewId="0">
      <selection activeCell="O19" sqref="O19"/>
    </sheetView>
  </sheetViews>
  <sheetFormatPr defaultRowHeight="15" x14ac:dyDescent="0.25"/>
  <cols>
    <col min="1" max="1" width="10" bestFit="1" customWidth="1"/>
    <col min="3" max="3" width="25.28515625" bestFit="1" customWidth="1"/>
    <col min="4" max="4" width="18.7109375" bestFit="1" customWidth="1"/>
    <col min="5" max="34" width="5" bestFit="1" customWidth="1"/>
  </cols>
  <sheetData>
    <row r="1" spans="1:35" x14ac:dyDescent="0.25">
      <c r="C1" t="s">
        <v>47</v>
      </c>
    </row>
    <row r="2" spans="1:35" x14ac:dyDescent="0.25">
      <c r="D2" t="s">
        <v>46</v>
      </c>
      <c r="AI2" t="s">
        <v>35</v>
      </c>
    </row>
    <row r="3" spans="1:35" x14ac:dyDescent="0.25">
      <c r="A3" s="1" t="s">
        <v>1</v>
      </c>
      <c r="B3" s="1" t="s">
        <v>2</v>
      </c>
      <c r="C3" s="1" t="s">
        <v>36</v>
      </c>
      <c r="D3" s="1"/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39</v>
      </c>
    </row>
    <row r="4" spans="1:35" x14ac:dyDescent="0.25">
      <c r="A4" s="1" t="s">
        <v>3</v>
      </c>
      <c r="B4" s="1" t="s">
        <v>44</v>
      </c>
      <c r="C4" s="1" t="s">
        <v>43</v>
      </c>
      <c r="D4" s="1" t="s">
        <v>0</v>
      </c>
      <c r="E4" s="3">
        <v>4728</v>
      </c>
      <c r="F4" s="3">
        <v>4720</v>
      </c>
      <c r="G4" s="3">
        <v>4724</v>
      </c>
      <c r="H4" s="3">
        <v>4713</v>
      </c>
      <c r="I4" s="3">
        <v>4728</v>
      </c>
      <c r="J4" s="3">
        <v>4725</v>
      </c>
      <c r="K4" s="3">
        <v>4740</v>
      </c>
      <c r="L4" s="3">
        <v>4726</v>
      </c>
      <c r="M4" s="3">
        <v>4721</v>
      </c>
      <c r="N4" s="3">
        <v>4766</v>
      </c>
      <c r="O4" s="3">
        <v>4728</v>
      </c>
      <c r="P4" s="3">
        <v>4713</v>
      </c>
      <c r="Q4" s="3">
        <v>4727</v>
      </c>
      <c r="R4" s="3">
        <v>4728</v>
      </c>
      <c r="S4" s="3">
        <v>4718</v>
      </c>
      <c r="T4" s="3">
        <v>4722</v>
      </c>
      <c r="U4" s="3">
        <v>4729</v>
      </c>
      <c r="V4" s="3">
        <v>4726</v>
      </c>
      <c r="W4" s="3">
        <v>4725</v>
      </c>
      <c r="X4" s="3">
        <v>4729</v>
      </c>
      <c r="Y4" s="3">
        <v>4733</v>
      </c>
      <c r="Z4" s="3">
        <v>4728</v>
      </c>
      <c r="AA4" s="3">
        <v>4726</v>
      </c>
      <c r="AB4" s="3">
        <v>4721</v>
      </c>
      <c r="AC4" s="3">
        <v>4731</v>
      </c>
      <c r="AD4" s="3">
        <v>4727</v>
      </c>
      <c r="AE4" s="3">
        <v>4757</v>
      </c>
      <c r="AF4" s="3">
        <v>4725</v>
      </c>
      <c r="AG4" s="3">
        <v>4735</v>
      </c>
      <c r="AH4" s="3">
        <v>4727</v>
      </c>
      <c r="AI4" s="2">
        <f>AVERAGE(E4:AH4)</f>
        <v>4728.2</v>
      </c>
    </row>
    <row r="5" spans="1:35" x14ac:dyDescent="0.25">
      <c r="A5" s="1" t="s">
        <v>3</v>
      </c>
      <c r="B5" s="1" t="s">
        <v>44</v>
      </c>
      <c r="C5" s="1" t="s">
        <v>37</v>
      </c>
      <c r="D5" s="1"/>
      <c r="E5" s="1">
        <v>1282</v>
      </c>
      <c r="F5" s="1">
        <v>998</v>
      </c>
      <c r="G5" s="1">
        <v>795</v>
      </c>
      <c r="H5" s="1">
        <v>668</v>
      </c>
      <c r="I5" s="1">
        <v>875</v>
      </c>
      <c r="J5" s="1">
        <v>892</v>
      </c>
      <c r="K5" s="1">
        <v>687</v>
      </c>
      <c r="L5" s="1">
        <v>664</v>
      </c>
      <c r="M5" s="1">
        <v>1128</v>
      </c>
      <c r="N5" s="1">
        <v>1101</v>
      </c>
      <c r="O5" s="1">
        <v>1052</v>
      </c>
      <c r="P5" s="1">
        <v>653</v>
      </c>
      <c r="Q5" s="1">
        <v>832</v>
      </c>
      <c r="R5" s="1">
        <v>900</v>
      </c>
      <c r="S5" s="1">
        <v>1271</v>
      </c>
      <c r="T5" s="1">
        <v>902</v>
      </c>
      <c r="U5" s="1">
        <v>818</v>
      </c>
      <c r="V5" s="1">
        <v>976</v>
      </c>
      <c r="W5" s="1">
        <v>1297</v>
      </c>
      <c r="X5" s="1">
        <v>928</v>
      </c>
      <c r="Y5" s="1">
        <v>684</v>
      </c>
      <c r="Z5" s="1">
        <v>1240</v>
      </c>
      <c r="AA5" s="1">
        <v>1077</v>
      </c>
      <c r="AB5" s="1">
        <v>955</v>
      </c>
      <c r="AC5" s="1">
        <v>684</v>
      </c>
      <c r="AD5" s="1">
        <v>1067</v>
      </c>
      <c r="AE5" s="1">
        <v>1252</v>
      </c>
      <c r="AF5" s="1">
        <v>1291</v>
      </c>
      <c r="AG5" s="1">
        <v>1115</v>
      </c>
      <c r="AH5" s="1">
        <v>905</v>
      </c>
      <c r="AI5" s="2">
        <f>AVERAGE(E5:AH5)</f>
        <v>966.3</v>
      </c>
    </row>
    <row r="6" spans="1:35" x14ac:dyDescent="0.25">
      <c r="A6" s="1" t="s">
        <v>3</v>
      </c>
      <c r="B6" s="1" t="s">
        <v>4</v>
      </c>
      <c r="C6" s="1" t="s">
        <v>43</v>
      </c>
      <c r="D6" s="1" t="s">
        <v>0</v>
      </c>
      <c r="E6" s="3">
        <v>4885</v>
      </c>
      <c r="F6" s="3">
        <v>4076</v>
      </c>
      <c r="G6" s="3">
        <v>4975</v>
      </c>
      <c r="H6" s="3">
        <v>4858</v>
      </c>
      <c r="I6" s="3">
        <v>4870</v>
      </c>
      <c r="J6" s="3">
        <v>4866</v>
      </c>
      <c r="K6" s="3">
        <v>4885</v>
      </c>
      <c r="L6" s="3">
        <v>4883</v>
      </c>
      <c r="M6" s="3">
        <v>4876</v>
      </c>
      <c r="N6" s="3">
        <v>4915</v>
      </c>
      <c r="O6" s="3">
        <v>4886</v>
      </c>
      <c r="P6" s="3">
        <v>4858</v>
      </c>
      <c r="Q6" s="3">
        <v>4879</v>
      </c>
      <c r="R6" s="3">
        <v>4877</v>
      </c>
      <c r="S6" s="3">
        <v>4875</v>
      </c>
      <c r="T6" s="3">
        <v>4868</v>
      </c>
      <c r="U6" s="3">
        <v>4886</v>
      </c>
      <c r="V6" s="3">
        <v>4930</v>
      </c>
      <c r="W6" s="3">
        <v>4883</v>
      </c>
      <c r="X6" s="3">
        <v>4890</v>
      </c>
      <c r="Y6" s="3">
        <v>4881</v>
      </c>
      <c r="Z6" s="3">
        <v>5015</v>
      </c>
      <c r="AA6" s="3">
        <v>4879</v>
      </c>
      <c r="AB6" s="3">
        <v>4867</v>
      </c>
      <c r="AC6" s="3">
        <v>4878</v>
      </c>
      <c r="AD6" s="3">
        <v>4866</v>
      </c>
      <c r="AE6" s="3">
        <v>4925</v>
      </c>
      <c r="AF6" s="3">
        <v>4878</v>
      </c>
      <c r="AG6" s="3">
        <v>4962</v>
      </c>
      <c r="AH6" s="3">
        <v>4881</v>
      </c>
      <c r="AI6" s="2">
        <f>AVERAGE(E6:AH6)</f>
        <v>4865.1000000000004</v>
      </c>
    </row>
    <row r="7" spans="1:35" x14ac:dyDescent="0.25">
      <c r="A7" s="1" t="s">
        <v>3</v>
      </c>
      <c r="B7" s="1" t="s">
        <v>4</v>
      </c>
      <c r="C7" s="1" t="s">
        <v>37</v>
      </c>
      <c r="D7" s="1"/>
      <c r="E7" s="1">
        <v>1399</v>
      </c>
      <c r="F7" s="1">
        <v>1114</v>
      </c>
      <c r="G7" s="1">
        <v>969</v>
      </c>
      <c r="H7" s="1">
        <v>778</v>
      </c>
      <c r="I7" s="1">
        <v>976</v>
      </c>
      <c r="J7" s="1">
        <v>995</v>
      </c>
      <c r="K7" s="1">
        <v>796</v>
      </c>
      <c r="L7" s="1">
        <v>804</v>
      </c>
      <c r="M7" s="1">
        <v>1232</v>
      </c>
      <c r="N7" s="1">
        <v>1377</v>
      </c>
      <c r="O7" s="1">
        <v>1168</v>
      </c>
      <c r="P7" s="1">
        <v>751</v>
      </c>
      <c r="Q7" s="1">
        <v>948</v>
      </c>
      <c r="R7" s="1">
        <v>1028</v>
      </c>
      <c r="S7" s="1">
        <v>1387</v>
      </c>
      <c r="T7" s="1">
        <v>1016</v>
      </c>
      <c r="U7" s="1">
        <v>935</v>
      </c>
      <c r="V7" s="1">
        <v>1094</v>
      </c>
      <c r="W7" s="1">
        <v>1495</v>
      </c>
      <c r="X7" s="1">
        <v>1054</v>
      </c>
      <c r="Y7" s="1">
        <v>823</v>
      </c>
      <c r="Z7" s="1">
        <v>1481</v>
      </c>
      <c r="AA7" s="1">
        <v>1190</v>
      </c>
      <c r="AB7" s="1">
        <v>1067</v>
      </c>
      <c r="AC7" s="1">
        <v>797</v>
      </c>
      <c r="AD7" s="1">
        <v>1190</v>
      </c>
      <c r="AE7" s="1">
        <v>1467</v>
      </c>
      <c r="AF7" s="1">
        <v>1406</v>
      </c>
      <c r="AG7" s="1">
        <v>1232</v>
      </c>
      <c r="AH7" s="1">
        <v>1009</v>
      </c>
      <c r="AI7" s="2">
        <f>AVERAGE(E7:AH7)</f>
        <v>1099.2666666666667</v>
      </c>
    </row>
    <row r="8" spans="1:35" x14ac:dyDescent="0.25">
      <c r="A8" s="1" t="s">
        <v>38</v>
      </c>
      <c r="B8" s="1" t="s">
        <v>40</v>
      </c>
      <c r="C8" s="1" t="s">
        <v>43</v>
      </c>
      <c r="D8" s="1" t="s">
        <v>0</v>
      </c>
      <c r="E8" s="3">
        <v>4230</v>
      </c>
      <c r="F8" s="3">
        <v>4231</v>
      </c>
      <c r="G8" s="3">
        <v>4233</v>
      </c>
      <c r="H8" s="3">
        <v>4226</v>
      </c>
      <c r="I8" s="3">
        <v>4237</v>
      </c>
      <c r="J8" s="3">
        <v>4237</v>
      </c>
      <c r="K8" s="3">
        <v>4254</v>
      </c>
      <c r="L8" s="3">
        <v>4231</v>
      </c>
      <c r="M8" s="3">
        <v>4240</v>
      </c>
      <c r="N8" s="3">
        <v>4282</v>
      </c>
      <c r="O8" s="3">
        <v>4238</v>
      </c>
      <c r="P8" s="3">
        <v>4221</v>
      </c>
      <c r="Q8" s="3">
        <v>4244</v>
      </c>
      <c r="R8" s="3">
        <v>4234</v>
      </c>
      <c r="S8" s="3">
        <v>4231</v>
      </c>
      <c r="T8" s="3">
        <v>4237</v>
      </c>
      <c r="U8" s="3">
        <v>4247</v>
      </c>
      <c r="V8" s="3">
        <v>4237</v>
      </c>
      <c r="W8" s="3">
        <v>4240</v>
      </c>
      <c r="X8" s="3">
        <v>4244</v>
      </c>
      <c r="Y8" s="3">
        <v>4243</v>
      </c>
      <c r="Z8" s="3">
        <v>4234</v>
      </c>
      <c r="AA8" s="3">
        <v>4236</v>
      </c>
      <c r="AB8" s="3">
        <v>4232</v>
      </c>
      <c r="AC8" s="3">
        <v>4231</v>
      </c>
      <c r="AD8" s="3">
        <v>4235</v>
      </c>
      <c r="AE8" s="3">
        <v>4284</v>
      </c>
      <c r="AF8" s="3">
        <v>4235</v>
      </c>
      <c r="AG8" s="3">
        <v>4249</v>
      </c>
      <c r="AH8" s="3">
        <v>4227</v>
      </c>
      <c r="AI8" s="2">
        <f t="shared" ref="AI8:AI13" si="0">AVERAGE(E8:AH8)</f>
        <v>4239.333333333333</v>
      </c>
    </row>
    <row r="9" spans="1:35" x14ac:dyDescent="0.25">
      <c r="A9" s="1" t="s">
        <v>38</v>
      </c>
      <c r="B9" s="1" t="s">
        <v>40</v>
      </c>
      <c r="C9" s="1" t="s">
        <v>37</v>
      </c>
      <c r="D9" s="1"/>
      <c r="E9" s="1">
        <v>1477</v>
      </c>
      <c r="F9" s="1">
        <v>993</v>
      </c>
      <c r="G9" s="1">
        <v>833</v>
      </c>
      <c r="H9" s="1">
        <v>753</v>
      </c>
      <c r="I9" s="1">
        <v>841</v>
      </c>
      <c r="J9" s="1">
        <v>963</v>
      </c>
      <c r="K9" s="1">
        <v>777</v>
      </c>
      <c r="L9" s="1">
        <v>745</v>
      </c>
      <c r="M9" s="1">
        <v>1083</v>
      </c>
      <c r="N9" s="1">
        <v>1082</v>
      </c>
      <c r="O9" s="1">
        <v>1045</v>
      </c>
      <c r="P9" s="1">
        <v>735</v>
      </c>
      <c r="Q9" s="1">
        <v>861</v>
      </c>
      <c r="R9" s="1">
        <v>923</v>
      </c>
      <c r="S9" s="1">
        <v>1225</v>
      </c>
      <c r="T9" s="1">
        <v>940</v>
      </c>
      <c r="U9" s="1">
        <v>883</v>
      </c>
      <c r="V9" s="1">
        <v>1014</v>
      </c>
      <c r="W9" s="1">
        <v>1456</v>
      </c>
      <c r="X9" s="1">
        <v>964</v>
      </c>
      <c r="Y9" s="1">
        <v>759</v>
      </c>
      <c r="Z9" s="1">
        <v>1523</v>
      </c>
      <c r="AA9" s="1">
        <v>1074</v>
      </c>
      <c r="AB9" s="1">
        <v>992</v>
      </c>
      <c r="AC9" s="1">
        <v>757</v>
      </c>
      <c r="AD9" s="1">
        <v>1078</v>
      </c>
      <c r="AE9" s="1">
        <v>1261</v>
      </c>
      <c r="AF9" s="1">
        <v>1443</v>
      </c>
      <c r="AG9" s="1">
        <v>1417</v>
      </c>
      <c r="AH9" s="1">
        <v>904</v>
      </c>
      <c r="AI9" s="2">
        <f t="shared" si="0"/>
        <v>1026.7</v>
      </c>
    </row>
    <row r="10" spans="1:35" x14ac:dyDescent="0.25">
      <c r="A10" s="1" t="s">
        <v>38</v>
      </c>
      <c r="B10" s="1" t="s">
        <v>41</v>
      </c>
      <c r="C10" s="1" t="s">
        <v>43</v>
      </c>
      <c r="D10" s="1" t="s">
        <v>0</v>
      </c>
      <c r="E10" s="3">
        <v>4230</v>
      </c>
      <c r="F10" s="3">
        <v>4228</v>
      </c>
      <c r="G10" s="3">
        <v>4226</v>
      </c>
      <c r="H10" s="3">
        <v>4237</v>
      </c>
      <c r="I10" s="3">
        <v>4237</v>
      </c>
      <c r="J10" s="3">
        <v>4237</v>
      </c>
      <c r="K10" s="3">
        <v>4258</v>
      </c>
      <c r="L10" s="3">
        <v>4231</v>
      </c>
      <c r="M10" s="3">
        <v>4237</v>
      </c>
      <c r="N10" s="3">
        <v>4275</v>
      </c>
      <c r="O10" s="3">
        <v>4238</v>
      </c>
      <c r="P10" s="3">
        <v>4221</v>
      </c>
      <c r="Q10" s="3">
        <v>4244</v>
      </c>
      <c r="R10" s="3">
        <v>4234</v>
      </c>
      <c r="S10" s="3">
        <v>4231</v>
      </c>
      <c r="T10" s="3">
        <v>4237</v>
      </c>
      <c r="U10" s="3">
        <v>4251</v>
      </c>
      <c r="V10" s="3">
        <v>4236</v>
      </c>
      <c r="W10" s="3">
        <v>4238</v>
      </c>
      <c r="X10" s="3">
        <v>4247</v>
      </c>
      <c r="Y10" s="3">
        <v>4245</v>
      </c>
      <c r="Z10" s="3">
        <v>4235</v>
      </c>
      <c r="AA10" s="3">
        <v>4233</v>
      </c>
      <c r="AB10" s="3">
        <v>4232</v>
      </c>
      <c r="AC10" s="3">
        <v>4233</v>
      </c>
      <c r="AD10" s="3">
        <v>4235</v>
      </c>
      <c r="AE10" s="3">
        <v>4321</v>
      </c>
      <c r="AF10" s="3">
        <v>4235</v>
      </c>
      <c r="AG10" s="3">
        <v>4246</v>
      </c>
      <c r="AH10" s="3">
        <v>4229</v>
      </c>
      <c r="AI10" s="2">
        <f t="shared" si="0"/>
        <v>4240.5666666666666</v>
      </c>
    </row>
    <row r="11" spans="1:35" x14ac:dyDescent="0.25">
      <c r="A11" s="1" t="s">
        <v>38</v>
      </c>
      <c r="B11" s="1" t="s">
        <v>41</v>
      </c>
      <c r="C11" s="1" t="s">
        <v>37</v>
      </c>
      <c r="D11" s="1"/>
      <c r="E11" s="1">
        <v>1477</v>
      </c>
      <c r="F11" s="1">
        <v>996</v>
      </c>
      <c r="G11" s="1">
        <v>842</v>
      </c>
      <c r="H11" s="1">
        <v>753</v>
      </c>
      <c r="I11" s="1">
        <v>853</v>
      </c>
      <c r="J11" s="1">
        <v>963</v>
      </c>
      <c r="K11" s="1">
        <v>777</v>
      </c>
      <c r="L11" s="1">
        <v>745</v>
      </c>
      <c r="M11" s="1">
        <v>1087</v>
      </c>
      <c r="N11" s="1">
        <v>1099</v>
      </c>
      <c r="O11" s="1">
        <v>1045</v>
      </c>
      <c r="P11" s="1">
        <v>735</v>
      </c>
      <c r="Q11" s="1">
        <v>872</v>
      </c>
      <c r="R11" s="1">
        <v>935</v>
      </c>
      <c r="S11" s="1">
        <v>1225</v>
      </c>
      <c r="T11" s="1">
        <v>944</v>
      </c>
      <c r="U11" s="1">
        <v>896</v>
      </c>
      <c r="V11" s="1">
        <v>1015</v>
      </c>
      <c r="W11" s="1">
        <v>1458</v>
      </c>
      <c r="X11" s="1">
        <v>965</v>
      </c>
      <c r="Y11" s="1">
        <v>768</v>
      </c>
      <c r="Z11" s="1">
        <v>1523</v>
      </c>
      <c r="AA11" s="1">
        <v>1067</v>
      </c>
      <c r="AB11" s="1">
        <v>993</v>
      </c>
      <c r="AC11" s="1">
        <v>759</v>
      </c>
      <c r="AD11" s="1">
        <v>1078</v>
      </c>
      <c r="AE11" s="1">
        <v>1274</v>
      </c>
      <c r="AF11" s="1">
        <v>1441</v>
      </c>
      <c r="AG11" s="1">
        <v>1415</v>
      </c>
      <c r="AH11" s="1">
        <v>913</v>
      </c>
      <c r="AI11" s="2">
        <f t="shared" si="0"/>
        <v>1030.4333333333334</v>
      </c>
    </row>
    <row r="12" spans="1:35" x14ac:dyDescent="0.25">
      <c r="A12" s="1" t="s">
        <v>42</v>
      </c>
      <c r="B12" s="1" t="s">
        <v>45</v>
      </c>
      <c r="C12" s="1" t="s">
        <v>43</v>
      </c>
      <c r="D12" s="1" t="s">
        <v>0</v>
      </c>
      <c r="E12" s="3">
        <v>4527</v>
      </c>
      <c r="F12" s="3">
        <v>4523</v>
      </c>
      <c r="G12" s="3">
        <v>4526</v>
      </c>
      <c r="H12" s="3">
        <v>4522</v>
      </c>
      <c r="I12" s="3">
        <v>4536</v>
      </c>
      <c r="J12" s="3">
        <v>4535</v>
      </c>
      <c r="K12" s="3">
        <v>4552</v>
      </c>
      <c r="L12" s="3">
        <v>4517</v>
      </c>
      <c r="M12" s="3">
        <v>4529</v>
      </c>
      <c r="N12" s="3">
        <v>4576</v>
      </c>
      <c r="O12" s="3">
        <v>4535</v>
      </c>
      <c r="P12" s="3">
        <v>4517</v>
      </c>
      <c r="Q12" s="3">
        <v>4539</v>
      </c>
      <c r="R12" s="3">
        <v>4537</v>
      </c>
      <c r="S12" s="3">
        <v>4528</v>
      </c>
      <c r="T12" s="3">
        <v>4532</v>
      </c>
      <c r="U12" s="3">
        <v>4547</v>
      </c>
      <c r="V12" s="3">
        <v>4536</v>
      </c>
      <c r="W12" s="3">
        <v>4535</v>
      </c>
      <c r="X12" s="3">
        <v>4536</v>
      </c>
      <c r="Y12" s="3">
        <v>4540</v>
      </c>
      <c r="Z12" s="3">
        <v>4531</v>
      </c>
      <c r="AA12" s="3">
        <v>4533</v>
      </c>
      <c r="AB12" s="3">
        <v>4531</v>
      </c>
      <c r="AC12" s="3">
        <v>4529</v>
      </c>
      <c r="AD12" s="3">
        <v>4540</v>
      </c>
      <c r="AE12" s="3">
        <v>4618</v>
      </c>
      <c r="AF12" s="3">
        <v>4529</v>
      </c>
      <c r="AG12" s="3">
        <v>4537</v>
      </c>
      <c r="AH12" s="3">
        <v>4551</v>
      </c>
      <c r="AI12" s="2">
        <f t="shared" si="0"/>
        <v>4537.4666666666662</v>
      </c>
    </row>
    <row r="13" spans="1:35" x14ac:dyDescent="0.25">
      <c r="A13" s="1" t="s">
        <v>42</v>
      </c>
      <c r="B13" s="1" t="s">
        <v>45</v>
      </c>
      <c r="C13" s="1" t="s">
        <v>37</v>
      </c>
      <c r="D13" s="1"/>
      <c r="E13" s="1">
        <v>1309</v>
      </c>
      <c r="F13" s="1">
        <v>1055</v>
      </c>
      <c r="G13" s="1">
        <v>877</v>
      </c>
      <c r="H13" s="1">
        <v>746</v>
      </c>
      <c r="I13" s="1">
        <v>930</v>
      </c>
      <c r="J13" s="1">
        <v>966</v>
      </c>
      <c r="K13" s="1">
        <v>765</v>
      </c>
      <c r="L13" s="1">
        <v>743</v>
      </c>
      <c r="M13" s="1">
        <v>1163</v>
      </c>
      <c r="N13" s="1">
        <v>1154</v>
      </c>
      <c r="O13" s="1">
        <v>1116</v>
      </c>
      <c r="P13" s="1">
        <v>734</v>
      </c>
      <c r="Q13" s="1">
        <v>911</v>
      </c>
      <c r="R13" s="1">
        <v>953</v>
      </c>
      <c r="S13" s="1">
        <v>1294</v>
      </c>
      <c r="T13" s="1">
        <v>976</v>
      </c>
      <c r="U13" s="1">
        <v>926</v>
      </c>
      <c r="V13" s="1">
        <v>1041</v>
      </c>
      <c r="W13" s="1">
        <v>1320</v>
      </c>
      <c r="X13" s="1">
        <v>972</v>
      </c>
      <c r="Y13" s="1">
        <v>764</v>
      </c>
      <c r="Z13" s="1">
        <v>1268</v>
      </c>
      <c r="AA13" s="1">
        <v>1130</v>
      </c>
      <c r="AB13" s="1">
        <v>1055</v>
      </c>
      <c r="AC13" s="1">
        <v>759</v>
      </c>
      <c r="AD13" s="1">
        <v>1102</v>
      </c>
      <c r="AE13" s="1">
        <v>1337</v>
      </c>
      <c r="AF13" s="1">
        <v>1316</v>
      </c>
      <c r="AG13" s="1">
        <v>1141</v>
      </c>
      <c r="AH13" s="1">
        <v>959</v>
      </c>
      <c r="AI13" s="2">
        <f t="shared" si="0"/>
        <v>1026.0666666666666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EFF8-80C5-4A82-B214-5780F6C44AB7}">
  <dimension ref="A1:AG8"/>
  <sheetViews>
    <sheetView topLeftCell="K1" workbookViewId="0">
      <selection activeCell="L13" sqref="L13"/>
    </sheetView>
  </sheetViews>
  <sheetFormatPr defaultRowHeight="15" x14ac:dyDescent="0.25"/>
  <cols>
    <col min="1" max="1" width="10" bestFit="1" customWidth="1"/>
    <col min="2" max="2" width="25.28515625" customWidth="1"/>
    <col min="3" max="14" width="5" customWidth="1"/>
    <col min="15" max="15" width="4.42578125" style="4" bestFit="1" customWidth="1"/>
    <col min="16" max="32" width="5" customWidth="1"/>
    <col min="33" max="33" width="26.42578125" bestFit="1" customWidth="1"/>
  </cols>
  <sheetData>
    <row r="1" spans="1:33" x14ac:dyDescent="0.25">
      <c r="B1" t="s">
        <v>47</v>
      </c>
    </row>
    <row r="2" spans="1:33" x14ac:dyDescent="0.25">
      <c r="AG2" t="s">
        <v>35</v>
      </c>
    </row>
    <row r="3" spans="1:33" x14ac:dyDescent="0.25">
      <c r="A3" s="1" t="s">
        <v>49</v>
      </c>
      <c r="B3" s="1" t="s">
        <v>36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3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56</v>
      </c>
    </row>
    <row r="4" spans="1:33" x14ac:dyDescent="0.25">
      <c r="A4" s="1" t="s">
        <v>50</v>
      </c>
      <c r="B4" s="1" t="s">
        <v>37</v>
      </c>
      <c r="C4" s="1">
        <v>1282</v>
      </c>
      <c r="D4" s="1">
        <v>998</v>
      </c>
      <c r="E4" s="1">
        <v>795</v>
      </c>
      <c r="F4" s="1">
        <v>668</v>
      </c>
      <c r="G4" s="1">
        <v>875</v>
      </c>
      <c r="H4" s="1">
        <v>892</v>
      </c>
      <c r="I4" s="1">
        <v>687</v>
      </c>
      <c r="J4" s="1">
        <v>664</v>
      </c>
      <c r="K4" s="1">
        <v>1128</v>
      </c>
      <c r="L4" s="1">
        <v>1101</v>
      </c>
      <c r="M4" s="1">
        <v>1052</v>
      </c>
      <c r="N4" s="1">
        <v>653</v>
      </c>
      <c r="O4" s="3">
        <v>832</v>
      </c>
      <c r="P4" s="1">
        <v>900</v>
      </c>
      <c r="Q4" s="1">
        <v>1271</v>
      </c>
      <c r="R4" s="1">
        <v>902</v>
      </c>
      <c r="S4" s="1">
        <v>818</v>
      </c>
      <c r="T4" s="1">
        <v>976</v>
      </c>
      <c r="U4" s="1">
        <v>1297</v>
      </c>
      <c r="V4" s="1">
        <v>928</v>
      </c>
      <c r="W4" s="1">
        <v>684</v>
      </c>
      <c r="X4" s="1">
        <v>1240</v>
      </c>
      <c r="Y4" s="1">
        <v>1077</v>
      </c>
      <c r="Z4" s="1">
        <v>955</v>
      </c>
      <c r="AA4" s="1">
        <v>684</v>
      </c>
      <c r="AB4" s="1">
        <v>1067</v>
      </c>
      <c r="AC4" s="1">
        <v>1252</v>
      </c>
      <c r="AD4" s="1">
        <v>1291</v>
      </c>
      <c r="AE4" s="1">
        <v>1115</v>
      </c>
      <c r="AF4" s="1">
        <v>905</v>
      </c>
      <c r="AG4" s="2">
        <f>AVERAGE(C4:AF4)</f>
        <v>966.3</v>
      </c>
    </row>
    <row r="5" spans="1:33" x14ac:dyDescent="0.25">
      <c r="A5" s="1" t="s">
        <v>51</v>
      </c>
      <c r="B5" s="1" t="s">
        <v>37</v>
      </c>
      <c r="C5" s="1">
        <v>1399</v>
      </c>
      <c r="D5" s="1">
        <v>1114</v>
      </c>
      <c r="E5" s="1">
        <v>969</v>
      </c>
      <c r="F5" s="1">
        <v>778</v>
      </c>
      <c r="G5" s="1">
        <v>976</v>
      </c>
      <c r="H5" s="1">
        <v>995</v>
      </c>
      <c r="I5" s="1">
        <v>796</v>
      </c>
      <c r="J5" s="1">
        <v>804</v>
      </c>
      <c r="K5" s="1">
        <v>1232</v>
      </c>
      <c r="L5" s="1">
        <v>1377</v>
      </c>
      <c r="M5" s="1">
        <v>1168</v>
      </c>
      <c r="N5" s="1">
        <v>751</v>
      </c>
      <c r="O5" s="3">
        <v>948</v>
      </c>
      <c r="P5" s="1">
        <v>1028</v>
      </c>
      <c r="Q5" s="1">
        <v>1387</v>
      </c>
      <c r="R5" s="1">
        <v>1016</v>
      </c>
      <c r="S5" s="1">
        <v>935</v>
      </c>
      <c r="T5" s="1">
        <v>1094</v>
      </c>
      <c r="U5" s="1">
        <v>1495</v>
      </c>
      <c r="V5" s="1">
        <v>1054</v>
      </c>
      <c r="W5" s="1">
        <v>823</v>
      </c>
      <c r="X5" s="1">
        <v>1481</v>
      </c>
      <c r="Y5" s="1">
        <v>1190</v>
      </c>
      <c r="Z5" s="1">
        <v>1067</v>
      </c>
      <c r="AA5" s="1">
        <v>797</v>
      </c>
      <c r="AB5" s="1">
        <v>1190</v>
      </c>
      <c r="AC5" s="1">
        <v>1467</v>
      </c>
      <c r="AD5" s="1">
        <v>1406</v>
      </c>
      <c r="AE5" s="1">
        <v>1232</v>
      </c>
      <c r="AF5" s="1">
        <v>1009</v>
      </c>
      <c r="AG5" s="2">
        <f>AVERAGE(C5:AF5)</f>
        <v>1099.2666666666667</v>
      </c>
    </row>
    <row r="6" spans="1:33" x14ac:dyDescent="0.25">
      <c r="A6" s="1" t="s">
        <v>52</v>
      </c>
      <c r="B6" s="1" t="s">
        <v>37</v>
      </c>
      <c r="C6" s="1">
        <v>1477</v>
      </c>
      <c r="D6" s="1">
        <v>993</v>
      </c>
      <c r="E6" s="1">
        <v>833</v>
      </c>
      <c r="F6" s="1">
        <v>753</v>
      </c>
      <c r="G6" s="1">
        <v>841</v>
      </c>
      <c r="H6" s="1">
        <v>963</v>
      </c>
      <c r="I6" s="1">
        <v>777</v>
      </c>
      <c r="J6" s="1">
        <v>745</v>
      </c>
      <c r="K6" s="1">
        <v>1083</v>
      </c>
      <c r="L6" s="1">
        <v>1082</v>
      </c>
      <c r="M6" s="1">
        <v>1045</v>
      </c>
      <c r="N6" s="1">
        <v>735</v>
      </c>
      <c r="O6" s="3">
        <v>861</v>
      </c>
      <c r="P6" s="1">
        <v>923</v>
      </c>
      <c r="Q6" s="1">
        <v>1225</v>
      </c>
      <c r="R6" s="1">
        <v>940</v>
      </c>
      <c r="S6" s="1">
        <v>883</v>
      </c>
      <c r="T6" s="1">
        <v>1014</v>
      </c>
      <c r="U6" s="1">
        <v>1456</v>
      </c>
      <c r="V6" s="1">
        <v>964</v>
      </c>
      <c r="W6" s="1">
        <v>759</v>
      </c>
      <c r="X6" s="1">
        <v>1523</v>
      </c>
      <c r="Y6" s="1">
        <v>1074</v>
      </c>
      <c r="Z6" s="1">
        <v>992</v>
      </c>
      <c r="AA6" s="1">
        <v>757</v>
      </c>
      <c r="AB6" s="1">
        <v>1078</v>
      </c>
      <c r="AC6" s="1">
        <v>1261</v>
      </c>
      <c r="AD6" s="1">
        <v>1443</v>
      </c>
      <c r="AE6" s="1">
        <v>1417</v>
      </c>
      <c r="AF6" s="1">
        <v>904</v>
      </c>
      <c r="AG6" s="2">
        <f t="shared" ref="AG6:AG8" si="0">AVERAGE(C6:AF6)</f>
        <v>1026.7</v>
      </c>
    </row>
    <row r="7" spans="1:33" x14ac:dyDescent="0.25">
      <c r="A7" s="1" t="s">
        <v>53</v>
      </c>
      <c r="B7" s="1" t="s">
        <v>37</v>
      </c>
      <c r="C7" s="1">
        <v>1477</v>
      </c>
      <c r="D7" s="1">
        <v>996</v>
      </c>
      <c r="E7" s="1">
        <v>842</v>
      </c>
      <c r="F7" s="1">
        <v>753</v>
      </c>
      <c r="G7" s="1">
        <v>853</v>
      </c>
      <c r="H7" s="1">
        <v>963</v>
      </c>
      <c r="I7" s="1">
        <v>777</v>
      </c>
      <c r="J7" s="1">
        <v>745</v>
      </c>
      <c r="K7" s="1">
        <v>1087</v>
      </c>
      <c r="L7" s="1">
        <v>1099</v>
      </c>
      <c r="M7" s="1">
        <v>1045</v>
      </c>
      <c r="N7" s="1">
        <v>735</v>
      </c>
      <c r="O7" s="3">
        <v>872</v>
      </c>
      <c r="P7" s="1">
        <v>935</v>
      </c>
      <c r="Q7" s="1">
        <v>1225</v>
      </c>
      <c r="R7" s="1">
        <v>944</v>
      </c>
      <c r="S7" s="1">
        <v>896</v>
      </c>
      <c r="T7" s="1">
        <v>1015</v>
      </c>
      <c r="U7" s="1">
        <v>1458</v>
      </c>
      <c r="V7" s="1">
        <v>965</v>
      </c>
      <c r="W7" s="1">
        <v>768</v>
      </c>
      <c r="X7" s="1">
        <v>1523</v>
      </c>
      <c r="Y7" s="1">
        <v>1067</v>
      </c>
      <c r="Z7" s="1">
        <v>993</v>
      </c>
      <c r="AA7" s="1">
        <v>759</v>
      </c>
      <c r="AB7" s="1">
        <v>1078</v>
      </c>
      <c r="AC7" s="1">
        <v>1274</v>
      </c>
      <c r="AD7" s="1">
        <v>1441</v>
      </c>
      <c r="AE7" s="1">
        <v>1415</v>
      </c>
      <c r="AF7" s="1">
        <v>913</v>
      </c>
      <c r="AG7" s="2">
        <f t="shared" si="0"/>
        <v>1030.4333333333334</v>
      </c>
    </row>
    <row r="8" spans="1:33" x14ac:dyDescent="0.25">
      <c r="A8" s="1" t="s">
        <v>54</v>
      </c>
      <c r="B8" s="1" t="s">
        <v>37</v>
      </c>
      <c r="C8" s="1">
        <v>1309</v>
      </c>
      <c r="D8" s="1">
        <v>1055</v>
      </c>
      <c r="E8" s="1">
        <v>877</v>
      </c>
      <c r="F8" s="1">
        <v>746</v>
      </c>
      <c r="G8" s="1">
        <v>930</v>
      </c>
      <c r="H8" s="1">
        <v>966</v>
      </c>
      <c r="I8" s="1">
        <v>765</v>
      </c>
      <c r="J8" s="1">
        <v>743</v>
      </c>
      <c r="K8" s="1">
        <v>1163</v>
      </c>
      <c r="L8" s="1">
        <v>1154</v>
      </c>
      <c r="M8" s="1">
        <v>1116</v>
      </c>
      <c r="N8" s="1">
        <v>734</v>
      </c>
      <c r="O8" s="3">
        <v>911</v>
      </c>
      <c r="P8" s="1">
        <v>953</v>
      </c>
      <c r="Q8" s="1">
        <v>1294</v>
      </c>
      <c r="R8" s="1">
        <v>976</v>
      </c>
      <c r="S8" s="1">
        <v>926</v>
      </c>
      <c r="T8" s="1">
        <v>1041</v>
      </c>
      <c r="U8" s="1">
        <v>1320</v>
      </c>
      <c r="V8" s="1">
        <v>972</v>
      </c>
      <c r="W8" s="1">
        <v>764</v>
      </c>
      <c r="X8" s="1">
        <v>1268</v>
      </c>
      <c r="Y8" s="1">
        <v>1130</v>
      </c>
      <c r="Z8" s="1">
        <v>1055</v>
      </c>
      <c r="AA8" s="1">
        <v>759</v>
      </c>
      <c r="AB8" s="1">
        <v>1102</v>
      </c>
      <c r="AC8" s="1">
        <v>1337</v>
      </c>
      <c r="AD8" s="1">
        <v>1316</v>
      </c>
      <c r="AE8" s="1">
        <v>1141</v>
      </c>
      <c r="AF8" s="1">
        <v>959</v>
      </c>
      <c r="AG8" s="2">
        <f t="shared" si="0"/>
        <v>1026.0666666666666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5B12-6905-4BFB-B991-F38A724270B3}">
  <dimension ref="A1:AI8"/>
  <sheetViews>
    <sheetView topLeftCell="P1" workbookViewId="0">
      <selection activeCell="Y12" sqref="Y12"/>
    </sheetView>
  </sheetViews>
  <sheetFormatPr defaultRowHeight="15" x14ac:dyDescent="0.25"/>
  <cols>
    <col min="1" max="1" width="10" bestFit="1" customWidth="1"/>
    <col min="3" max="3" width="25.28515625" bestFit="1" customWidth="1"/>
    <col min="4" max="34" width="9.140625" customWidth="1"/>
  </cols>
  <sheetData>
    <row r="1" spans="1:35" x14ac:dyDescent="0.25">
      <c r="C1" t="s">
        <v>47</v>
      </c>
    </row>
    <row r="2" spans="1:35" x14ac:dyDescent="0.25">
      <c r="D2" t="s">
        <v>46</v>
      </c>
    </row>
    <row r="3" spans="1:35" x14ac:dyDescent="0.25">
      <c r="A3" s="1" t="s">
        <v>1</v>
      </c>
      <c r="B3" s="1" t="s">
        <v>2</v>
      </c>
      <c r="C3" s="1" t="s">
        <v>36</v>
      </c>
      <c r="D3" s="1"/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39</v>
      </c>
    </row>
    <row r="4" spans="1:35" x14ac:dyDescent="0.25">
      <c r="A4" s="1" t="s">
        <v>3</v>
      </c>
      <c r="B4" s="1" t="s">
        <v>44</v>
      </c>
      <c r="C4" s="1" t="s">
        <v>43</v>
      </c>
      <c r="D4" s="1" t="s">
        <v>0</v>
      </c>
      <c r="E4" s="3">
        <v>4728</v>
      </c>
      <c r="F4" s="3">
        <v>4720</v>
      </c>
      <c r="G4" s="3">
        <v>4724</v>
      </c>
      <c r="H4" s="3">
        <v>4713</v>
      </c>
      <c r="I4" s="3">
        <v>4728</v>
      </c>
      <c r="J4" s="3">
        <v>4725</v>
      </c>
      <c r="K4" s="3">
        <v>4740</v>
      </c>
      <c r="L4" s="3">
        <v>4726</v>
      </c>
      <c r="M4" s="3">
        <v>4721</v>
      </c>
      <c r="N4" s="3">
        <v>4766</v>
      </c>
      <c r="O4" s="3">
        <v>4728</v>
      </c>
      <c r="P4" s="3">
        <v>4713</v>
      </c>
      <c r="Q4" s="3">
        <v>4727</v>
      </c>
      <c r="R4" s="3">
        <v>4728</v>
      </c>
      <c r="S4" s="3">
        <v>4718</v>
      </c>
      <c r="T4" s="3">
        <v>4722</v>
      </c>
      <c r="U4" s="3">
        <v>4729</v>
      </c>
      <c r="V4" s="3">
        <v>4726</v>
      </c>
      <c r="W4" s="3">
        <v>4725</v>
      </c>
      <c r="X4" s="3">
        <v>4729</v>
      </c>
      <c r="Y4" s="3">
        <v>4733</v>
      </c>
      <c r="Z4" s="3">
        <v>4728</v>
      </c>
      <c r="AA4" s="3">
        <v>4726</v>
      </c>
      <c r="AB4" s="3">
        <v>4721</v>
      </c>
      <c r="AC4" s="3">
        <v>4731</v>
      </c>
      <c r="AD4" s="3">
        <v>4727</v>
      </c>
      <c r="AE4" s="3">
        <v>4757</v>
      </c>
      <c r="AF4" s="3">
        <v>4725</v>
      </c>
      <c r="AG4" s="3">
        <v>4735</v>
      </c>
      <c r="AH4" s="3">
        <v>4727</v>
      </c>
      <c r="AI4" s="2">
        <f>AVERAGE(E4:AH4)</f>
        <v>4728.2</v>
      </c>
    </row>
    <row r="5" spans="1:35" x14ac:dyDescent="0.25">
      <c r="A5" s="1" t="s">
        <v>3</v>
      </c>
      <c r="B5" s="1" t="s">
        <v>4</v>
      </c>
      <c r="C5" s="1" t="s">
        <v>43</v>
      </c>
      <c r="D5" s="1" t="s">
        <v>0</v>
      </c>
      <c r="E5" s="3">
        <v>4885</v>
      </c>
      <c r="F5" s="3">
        <v>4076</v>
      </c>
      <c r="G5" s="3">
        <v>4975</v>
      </c>
      <c r="H5" s="3">
        <v>4858</v>
      </c>
      <c r="I5" s="3">
        <v>4870</v>
      </c>
      <c r="J5" s="3">
        <v>4866</v>
      </c>
      <c r="K5" s="3">
        <v>4885</v>
      </c>
      <c r="L5" s="3">
        <v>4883</v>
      </c>
      <c r="M5" s="3">
        <v>4876</v>
      </c>
      <c r="N5" s="3">
        <v>4915</v>
      </c>
      <c r="O5" s="3">
        <v>4886</v>
      </c>
      <c r="P5" s="3">
        <v>4858</v>
      </c>
      <c r="Q5" s="3">
        <v>4879</v>
      </c>
      <c r="R5" s="3">
        <v>4877</v>
      </c>
      <c r="S5" s="3">
        <v>4875</v>
      </c>
      <c r="T5" s="3">
        <v>4868</v>
      </c>
      <c r="U5" s="3">
        <v>4886</v>
      </c>
      <c r="V5" s="3">
        <v>4930</v>
      </c>
      <c r="W5" s="3">
        <v>4883</v>
      </c>
      <c r="X5" s="3">
        <v>4890</v>
      </c>
      <c r="Y5" s="3">
        <v>4881</v>
      </c>
      <c r="Z5" s="3">
        <v>5015</v>
      </c>
      <c r="AA5" s="3">
        <v>4879</v>
      </c>
      <c r="AB5" s="3">
        <v>4867</v>
      </c>
      <c r="AC5" s="3">
        <v>4878</v>
      </c>
      <c r="AD5" s="3">
        <v>4866</v>
      </c>
      <c r="AE5" s="3">
        <v>4925</v>
      </c>
      <c r="AF5" s="3">
        <v>4878</v>
      </c>
      <c r="AG5" s="3">
        <v>4962</v>
      </c>
      <c r="AH5" s="3">
        <v>4881</v>
      </c>
      <c r="AI5" s="2">
        <f>AVERAGE(E5:AH5)</f>
        <v>4865.1000000000004</v>
      </c>
    </row>
    <row r="6" spans="1:35" x14ac:dyDescent="0.25">
      <c r="A6" s="1" t="s">
        <v>38</v>
      </c>
      <c r="B6" s="1" t="s">
        <v>40</v>
      </c>
      <c r="C6" s="1" t="s">
        <v>43</v>
      </c>
      <c r="D6" s="1" t="s">
        <v>0</v>
      </c>
      <c r="E6" s="3">
        <v>4230</v>
      </c>
      <c r="F6" s="3">
        <v>4231</v>
      </c>
      <c r="G6" s="3">
        <v>4233</v>
      </c>
      <c r="H6" s="3">
        <v>4226</v>
      </c>
      <c r="I6" s="3">
        <v>4237</v>
      </c>
      <c r="J6" s="3">
        <v>4237</v>
      </c>
      <c r="K6" s="3">
        <v>4254</v>
      </c>
      <c r="L6" s="3">
        <v>4231</v>
      </c>
      <c r="M6" s="3">
        <v>4240</v>
      </c>
      <c r="N6" s="3">
        <v>4282</v>
      </c>
      <c r="O6" s="3">
        <v>4238</v>
      </c>
      <c r="P6" s="3">
        <v>4221</v>
      </c>
      <c r="Q6" s="3">
        <v>4244</v>
      </c>
      <c r="R6" s="3">
        <v>4234</v>
      </c>
      <c r="S6" s="3">
        <v>4231</v>
      </c>
      <c r="T6" s="3">
        <v>4237</v>
      </c>
      <c r="U6" s="3">
        <v>4247</v>
      </c>
      <c r="V6" s="3">
        <v>4237</v>
      </c>
      <c r="W6" s="3">
        <v>4240</v>
      </c>
      <c r="X6" s="3">
        <v>4244</v>
      </c>
      <c r="Y6" s="3">
        <v>4243</v>
      </c>
      <c r="Z6" s="3">
        <v>4234</v>
      </c>
      <c r="AA6" s="3">
        <v>4236</v>
      </c>
      <c r="AB6" s="3">
        <v>4232</v>
      </c>
      <c r="AC6" s="3">
        <v>4231</v>
      </c>
      <c r="AD6" s="3">
        <v>4235</v>
      </c>
      <c r="AE6" s="3">
        <v>4284</v>
      </c>
      <c r="AF6" s="3">
        <v>4235</v>
      </c>
      <c r="AG6" s="3">
        <v>4249</v>
      </c>
      <c r="AH6" s="3">
        <v>4227</v>
      </c>
      <c r="AI6" s="2">
        <f>AVERAGE(E6:AH6)</f>
        <v>4239.333333333333</v>
      </c>
    </row>
    <row r="7" spans="1:35" x14ac:dyDescent="0.25">
      <c r="A7" s="1" t="s">
        <v>38</v>
      </c>
      <c r="B7" s="1" t="s">
        <v>41</v>
      </c>
      <c r="C7" s="1" t="s">
        <v>43</v>
      </c>
      <c r="D7" s="1" t="s">
        <v>0</v>
      </c>
      <c r="E7" s="3">
        <v>4230</v>
      </c>
      <c r="F7" s="3">
        <v>4228</v>
      </c>
      <c r="G7" s="3">
        <v>4226</v>
      </c>
      <c r="H7" s="3">
        <v>4237</v>
      </c>
      <c r="I7" s="3">
        <v>4237</v>
      </c>
      <c r="J7" s="3">
        <v>4237</v>
      </c>
      <c r="K7" s="3">
        <v>4258</v>
      </c>
      <c r="L7" s="3">
        <v>4231</v>
      </c>
      <c r="M7" s="3">
        <v>4237</v>
      </c>
      <c r="N7" s="3">
        <v>4275</v>
      </c>
      <c r="O7" s="3">
        <v>4238</v>
      </c>
      <c r="P7" s="3">
        <v>4221</v>
      </c>
      <c r="Q7" s="3">
        <v>4244</v>
      </c>
      <c r="R7" s="3">
        <v>4234</v>
      </c>
      <c r="S7" s="3">
        <v>4231</v>
      </c>
      <c r="T7" s="3">
        <v>4237</v>
      </c>
      <c r="U7" s="3">
        <v>4251</v>
      </c>
      <c r="V7" s="3">
        <v>4236</v>
      </c>
      <c r="W7" s="3">
        <v>4238</v>
      </c>
      <c r="X7" s="3">
        <v>4247</v>
      </c>
      <c r="Y7" s="3">
        <v>4245</v>
      </c>
      <c r="Z7" s="3">
        <v>4235</v>
      </c>
      <c r="AA7" s="3">
        <v>4233</v>
      </c>
      <c r="AB7" s="3">
        <v>4232</v>
      </c>
      <c r="AC7" s="3">
        <v>4233</v>
      </c>
      <c r="AD7" s="3">
        <v>4235</v>
      </c>
      <c r="AE7" s="3">
        <v>4321</v>
      </c>
      <c r="AF7" s="3">
        <v>4235</v>
      </c>
      <c r="AG7" s="3">
        <v>4246</v>
      </c>
      <c r="AH7" s="3">
        <v>4229</v>
      </c>
      <c r="AI7" s="2">
        <f>AVERAGE(E7:AH7)</f>
        <v>4240.5666666666666</v>
      </c>
    </row>
    <row r="8" spans="1:35" x14ac:dyDescent="0.25">
      <c r="A8" s="1" t="s">
        <v>42</v>
      </c>
      <c r="B8" s="1" t="s">
        <v>45</v>
      </c>
      <c r="C8" s="1" t="s">
        <v>43</v>
      </c>
      <c r="D8" s="1" t="s">
        <v>0</v>
      </c>
      <c r="E8" s="3">
        <v>4527</v>
      </c>
      <c r="F8" s="3">
        <v>4523</v>
      </c>
      <c r="G8" s="3">
        <v>4526</v>
      </c>
      <c r="H8" s="3">
        <v>4522</v>
      </c>
      <c r="I8" s="3">
        <v>4536</v>
      </c>
      <c r="J8" s="3">
        <v>4535</v>
      </c>
      <c r="K8" s="3">
        <v>4552</v>
      </c>
      <c r="L8" s="3">
        <v>4517</v>
      </c>
      <c r="M8" s="3">
        <v>4529</v>
      </c>
      <c r="N8" s="3">
        <v>4576</v>
      </c>
      <c r="O8" s="3">
        <v>4535</v>
      </c>
      <c r="P8" s="3">
        <v>4517</v>
      </c>
      <c r="Q8" s="3">
        <v>4539</v>
      </c>
      <c r="R8" s="3">
        <v>4537</v>
      </c>
      <c r="S8" s="3">
        <v>4528</v>
      </c>
      <c r="T8" s="3">
        <v>4532</v>
      </c>
      <c r="U8" s="3">
        <v>4547</v>
      </c>
      <c r="V8" s="3">
        <v>4536</v>
      </c>
      <c r="W8" s="3">
        <v>4535</v>
      </c>
      <c r="X8" s="3">
        <v>4536</v>
      </c>
      <c r="Y8" s="3">
        <v>4540</v>
      </c>
      <c r="Z8" s="3">
        <v>4531</v>
      </c>
      <c r="AA8" s="3">
        <v>4533</v>
      </c>
      <c r="AB8" s="3">
        <v>4531</v>
      </c>
      <c r="AC8" s="3">
        <v>4529</v>
      </c>
      <c r="AD8" s="3">
        <v>4540</v>
      </c>
      <c r="AE8" s="3">
        <v>4618</v>
      </c>
      <c r="AF8" s="3">
        <v>4529</v>
      </c>
      <c r="AG8" s="3">
        <v>4537</v>
      </c>
      <c r="AH8" s="3">
        <v>4551</v>
      </c>
      <c r="AI8" s="2">
        <f>AVERAGE(E8:AH8)</f>
        <v>4537.4666666666662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41D4-0202-4FE9-962E-8813DB76EC4D}">
  <dimension ref="A3:AK13"/>
  <sheetViews>
    <sheetView workbookViewId="0">
      <selection activeCell="AE8" sqref="AE8"/>
    </sheetView>
  </sheetViews>
  <sheetFormatPr defaultRowHeight="15" x14ac:dyDescent="0.25"/>
  <cols>
    <col min="1" max="1" width="10" bestFit="1" customWidth="1"/>
    <col min="3" max="3" width="25.28515625" bestFit="1" customWidth="1"/>
    <col min="4" max="4" width="18.7109375" bestFit="1" customWidth="1"/>
    <col min="5" max="34" width="9.140625" customWidth="1"/>
    <col min="35" max="35" width="18.42578125" bestFit="1" customWidth="1"/>
  </cols>
  <sheetData>
    <row r="3" spans="1:37" x14ac:dyDescent="0.25">
      <c r="A3" s="1" t="s">
        <v>1</v>
      </c>
      <c r="B3" s="1" t="s">
        <v>2</v>
      </c>
      <c r="C3" s="1" t="s">
        <v>36</v>
      </c>
      <c r="D3" s="1"/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57</v>
      </c>
    </row>
    <row r="4" spans="1:37" x14ac:dyDescent="0.25">
      <c r="A4" s="1" t="s">
        <v>3</v>
      </c>
      <c r="B4" s="1" t="s">
        <v>44</v>
      </c>
      <c r="C4" s="1" t="s">
        <v>43</v>
      </c>
      <c r="D4" s="1" t="s">
        <v>0</v>
      </c>
      <c r="E4" s="3">
        <v>1310</v>
      </c>
      <c r="F4" s="3">
        <v>836</v>
      </c>
      <c r="G4" s="3">
        <v>1330</v>
      </c>
      <c r="H4" s="3">
        <v>1540</v>
      </c>
      <c r="I4" s="3">
        <v>932</v>
      </c>
      <c r="J4" s="3">
        <v>863</v>
      </c>
      <c r="K4" s="3">
        <v>1310</v>
      </c>
      <c r="L4" s="3">
        <v>1000</v>
      </c>
      <c r="M4" s="3">
        <v>924</v>
      </c>
      <c r="N4" s="3">
        <v>1800</v>
      </c>
      <c r="O4" s="3">
        <v>1780</v>
      </c>
      <c r="P4" s="3">
        <v>887</v>
      </c>
      <c r="Q4" s="3">
        <v>2009.9999999999998</v>
      </c>
      <c r="R4" s="3">
        <v>1450</v>
      </c>
      <c r="S4" s="3">
        <v>890</v>
      </c>
      <c r="T4" s="3">
        <v>1300</v>
      </c>
      <c r="U4" s="3">
        <v>1310</v>
      </c>
      <c r="V4" s="3">
        <v>1250</v>
      </c>
      <c r="W4" s="3">
        <v>956</v>
      </c>
      <c r="X4" s="3">
        <v>1130</v>
      </c>
      <c r="Y4" s="3">
        <v>1910</v>
      </c>
      <c r="Z4" s="3">
        <v>1100</v>
      </c>
      <c r="AA4" s="3">
        <v>1910</v>
      </c>
      <c r="AB4" s="3">
        <v>1260</v>
      </c>
      <c r="AC4" s="3">
        <v>1360</v>
      </c>
      <c r="AD4" s="3">
        <v>945</v>
      </c>
      <c r="AE4" s="3">
        <v>1420</v>
      </c>
      <c r="AF4" s="3">
        <v>1520</v>
      </c>
      <c r="AG4" s="3">
        <v>1130</v>
      </c>
      <c r="AH4" s="3">
        <v>1080</v>
      </c>
      <c r="AI4" s="5">
        <f>AVERAGE(E4:AH4)</f>
        <v>1281.4333333333334</v>
      </c>
      <c r="AK4" t="str">
        <f>IF(ISERROR(FIND("s",A1)),"",IF(ISNUMBER(FIND("ms",A1)),VALUE(LEFT(A1,FIND(" ",A1)-1)),VALUE(LEFT(A1,FIND(" ",A1)-1))*1000))</f>
        <v/>
      </c>
    </row>
    <row r="5" spans="1:37" x14ac:dyDescent="0.25">
      <c r="A5" s="1" t="s">
        <v>3</v>
      </c>
      <c r="B5" s="1" t="s">
        <v>44</v>
      </c>
      <c r="C5" s="1" t="s">
        <v>37</v>
      </c>
      <c r="D5" s="1"/>
      <c r="E5" s="3">
        <v>865</v>
      </c>
      <c r="F5" s="6">
        <v>1838</v>
      </c>
      <c r="G5" s="6">
        <v>1627</v>
      </c>
      <c r="H5" s="3">
        <v>727</v>
      </c>
      <c r="I5" s="6">
        <v>1379</v>
      </c>
      <c r="J5" s="6">
        <v>1111</v>
      </c>
      <c r="K5" s="6">
        <v>1113</v>
      </c>
      <c r="L5" s="6">
        <v>1429</v>
      </c>
      <c r="M5" s="6">
        <v>1498</v>
      </c>
      <c r="N5" s="6">
        <v>1356</v>
      </c>
      <c r="O5" s="3">
        <v>769</v>
      </c>
      <c r="P5" s="3">
        <v>955</v>
      </c>
      <c r="Q5" s="6">
        <v>1275</v>
      </c>
      <c r="R5" s="3">
        <v>834</v>
      </c>
      <c r="S5" s="6">
        <v>1402</v>
      </c>
      <c r="T5" s="3">
        <v>857</v>
      </c>
      <c r="U5" s="3">
        <v>788</v>
      </c>
      <c r="V5" s="3">
        <v>765</v>
      </c>
      <c r="W5" s="3">
        <v>810</v>
      </c>
      <c r="X5" s="3">
        <v>741</v>
      </c>
      <c r="Y5" s="3">
        <v>800</v>
      </c>
      <c r="Z5" s="3">
        <v>731</v>
      </c>
      <c r="AA5" s="3">
        <v>800</v>
      </c>
      <c r="AB5" s="3">
        <v>723</v>
      </c>
      <c r="AC5" s="3">
        <v>778</v>
      </c>
      <c r="AD5" s="3">
        <v>804</v>
      </c>
      <c r="AE5" s="3">
        <v>894</v>
      </c>
      <c r="AF5" s="3">
        <v>733</v>
      </c>
      <c r="AG5" s="3">
        <v>763</v>
      </c>
      <c r="AH5" s="3">
        <v>697</v>
      </c>
      <c r="AI5" s="5">
        <f>AVERAGE(E5:AH5)</f>
        <v>995.4</v>
      </c>
      <c r="AJ5" s="4"/>
    </row>
    <row r="6" spans="1:37" x14ac:dyDescent="0.25">
      <c r="A6" s="1" t="s">
        <v>3</v>
      </c>
      <c r="B6" s="1" t="s">
        <v>4</v>
      </c>
      <c r="C6" s="1" t="s">
        <v>43</v>
      </c>
      <c r="D6" s="1" t="s">
        <v>0</v>
      </c>
      <c r="E6" s="3">
        <v>2290</v>
      </c>
      <c r="F6" s="3">
        <v>3480</v>
      </c>
      <c r="G6" s="3">
        <v>2140</v>
      </c>
      <c r="H6" s="3">
        <v>2600</v>
      </c>
      <c r="I6" s="3">
        <v>1860</v>
      </c>
      <c r="J6" s="3">
        <v>1570</v>
      </c>
      <c r="K6" s="3">
        <v>3020</v>
      </c>
      <c r="L6" s="3">
        <v>1270</v>
      </c>
      <c r="M6" s="3">
        <v>3360</v>
      </c>
      <c r="N6" s="3">
        <v>1250</v>
      </c>
      <c r="O6" s="3">
        <v>1670</v>
      </c>
      <c r="P6" s="3">
        <v>1550</v>
      </c>
      <c r="Q6" s="3">
        <v>1340</v>
      </c>
      <c r="R6" s="3">
        <v>1220</v>
      </c>
      <c r="S6" s="3">
        <v>2620</v>
      </c>
      <c r="T6" s="3">
        <v>3980</v>
      </c>
      <c r="U6" s="3">
        <v>2950</v>
      </c>
      <c r="V6" s="3">
        <v>1580</v>
      </c>
      <c r="W6" s="3">
        <v>1730</v>
      </c>
      <c r="X6" s="3">
        <v>1410</v>
      </c>
      <c r="Y6" s="3">
        <v>1530</v>
      </c>
      <c r="Z6" s="3">
        <v>3060</v>
      </c>
      <c r="AA6" s="3">
        <v>1390</v>
      </c>
      <c r="AB6" s="3">
        <v>2930</v>
      </c>
      <c r="AC6" s="3">
        <v>2600</v>
      </c>
      <c r="AD6" s="3">
        <v>2770</v>
      </c>
      <c r="AE6" s="3">
        <v>1450</v>
      </c>
      <c r="AF6" s="3">
        <v>1730</v>
      </c>
      <c r="AG6" s="3">
        <v>3000</v>
      </c>
      <c r="AH6" s="3">
        <v>1420</v>
      </c>
      <c r="AI6" s="5">
        <f t="shared" ref="AI6:AI13" si="0">AVERAGE(E6:AH6)</f>
        <v>2159</v>
      </c>
    </row>
    <row r="7" spans="1:37" x14ac:dyDescent="0.25">
      <c r="A7" s="1" t="s">
        <v>3</v>
      </c>
      <c r="B7" s="1" t="s">
        <v>4</v>
      </c>
      <c r="C7" s="1" t="s">
        <v>37</v>
      </c>
      <c r="D7" s="1"/>
      <c r="E7" s="6">
        <v>1229</v>
      </c>
      <c r="F7" s="6">
        <v>1376</v>
      </c>
      <c r="G7" s="3">
        <v>1330</v>
      </c>
      <c r="H7" s="3">
        <v>1630</v>
      </c>
      <c r="I7" s="6">
        <v>1023</v>
      </c>
      <c r="J7" s="6">
        <v>2739</v>
      </c>
      <c r="K7" s="6">
        <v>1104</v>
      </c>
      <c r="L7" s="6">
        <v>2859</v>
      </c>
      <c r="M7" s="3">
        <v>919</v>
      </c>
      <c r="N7" s="6">
        <v>1882</v>
      </c>
      <c r="O7" s="6">
        <v>1144</v>
      </c>
      <c r="P7" s="6">
        <v>1003</v>
      </c>
      <c r="Q7" s="6">
        <v>1069</v>
      </c>
      <c r="R7" s="6">
        <v>1168</v>
      </c>
      <c r="S7" s="6">
        <v>1076</v>
      </c>
      <c r="T7" s="6">
        <v>1013</v>
      </c>
      <c r="U7" s="6">
        <v>1131</v>
      </c>
      <c r="V7" s="6">
        <v>1199</v>
      </c>
      <c r="W7" s="3">
        <v>1930</v>
      </c>
      <c r="X7" s="6">
        <v>1223</v>
      </c>
      <c r="Y7" s="6">
        <v>2286</v>
      </c>
      <c r="Z7" s="6">
        <v>2976</v>
      </c>
      <c r="AA7" s="6">
        <v>1747</v>
      </c>
      <c r="AB7" s="6">
        <v>1031</v>
      </c>
      <c r="AC7" s="6">
        <v>3517</v>
      </c>
      <c r="AD7" s="6">
        <v>4594</v>
      </c>
      <c r="AE7" s="6">
        <v>9246</v>
      </c>
      <c r="AF7" s="6">
        <v>1642</v>
      </c>
      <c r="AG7" s="3">
        <v>905</v>
      </c>
      <c r="AH7" s="6">
        <v>1289</v>
      </c>
      <c r="AI7" s="5">
        <f t="shared" si="0"/>
        <v>1909.3333333333333</v>
      </c>
    </row>
    <row r="8" spans="1:37" x14ac:dyDescent="0.25">
      <c r="A8" s="1" t="s">
        <v>38</v>
      </c>
      <c r="B8" s="1" t="s">
        <v>40</v>
      </c>
      <c r="C8" s="1" t="s">
        <v>43</v>
      </c>
      <c r="D8" s="1" t="s">
        <v>0</v>
      </c>
      <c r="E8" s="3">
        <v>705</v>
      </c>
      <c r="F8" s="3">
        <v>1320</v>
      </c>
      <c r="G8" s="3">
        <v>1470</v>
      </c>
      <c r="H8" s="3">
        <v>1290</v>
      </c>
      <c r="I8" s="3">
        <v>1890</v>
      </c>
      <c r="J8" s="3">
        <v>674</v>
      </c>
      <c r="K8" s="3">
        <v>845</v>
      </c>
      <c r="L8" s="3">
        <v>726</v>
      </c>
      <c r="M8" s="3">
        <v>1080</v>
      </c>
      <c r="N8" s="3">
        <v>1850</v>
      </c>
      <c r="O8" s="3">
        <v>856</v>
      </c>
      <c r="P8" s="3">
        <v>1750</v>
      </c>
      <c r="Q8" s="3">
        <v>1070</v>
      </c>
      <c r="R8" s="3">
        <v>1150</v>
      </c>
      <c r="S8" s="3">
        <v>694</v>
      </c>
      <c r="T8" s="3">
        <v>1190</v>
      </c>
      <c r="U8" s="3">
        <v>1100</v>
      </c>
      <c r="V8" s="3">
        <v>1150</v>
      </c>
      <c r="W8" s="3">
        <v>807</v>
      </c>
      <c r="X8" s="3">
        <v>957</v>
      </c>
      <c r="Y8" s="3">
        <v>995</v>
      </c>
      <c r="Z8" s="3">
        <v>981</v>
      </c>
      <c r="AA8" s="3">
        <v>1080</v>
      </c>
      <c r="AB8" s="3">
        <v>1660</v>
      </c>
      <c r="AC8" s="3">
        <v>887</v>
      </c>
      <c r="AD8" s="3">
        <v>907</v>
      </c>
      <c r="AE8" s="3">
        <v>1170</v>
      </c>
      <c r="AF8" s="3">
        <v>1010</v>
      </c>
      <c r="AG8" s="3">
        <v>1100</v>
      </c>
      <c r="AH8" s="3">
        <v>1350</v>
      </c>
      <c r="AI8" s="5">
        <f t="shared" si="0"/>
        <v>1123.8</v>
      </c>
    </row>
    <row r="9" spans="1:37" x14ac:dyDescent="0.25">
      <c r="A9" s="1" t="s">
        <v>38</v>
      </c>
      <c r="B9" s="1" t="s">
        <v>40</v>
      </c>
      <c r="C9" s="1" t="s">
        <v>37</v>
      </c>
      <c r="D9" s="1"/>
      <c r="E9" s="3">
        <v>755</v>
      </c>
      <c r="F9" s="3">
        <v>521</v>
      </c>
      <c r="G9" s="3">
        <v>614</v>
      </c>
      <c r="H9" s="3">
        <v>567</v>
      </c>
      <c r="I9" s="3">
        <v>529</v>
      </c>
      <c r="J9" s="3">
        <v>487</v>
      </c>
      <c r="K9" s="3">
        <v>690</v>
      </c>
      <c r="L9" s="6">
        <v>1004</v>
      </c>
      <c r="M9" s="3">
        <v>634</v>
      </c>
      <c r="N9" s="6">
        <v>1063</v>
      </c>
      <c r="O9" s="3">
        <v>584</v>
      </c>
      <c r="P9" s="3">
        <v>545</v>
      </c>
      <c r="Q9" s="3">
        <v>1010</v>
      </c>
      <c r="R9" s="3">
        <v>340</v>
      </c>
      <c r="S9" s="3">
        <v>887</v>
      </c>
      <c r="T9" s="3">
        <v>603</v>
      </c>
      <c r="U9" s="3">
        <v>653</v>
      </c>
      <c r="V9" s="3">
        <v>571</v>
      </c>
      <c r="W9" s="6">
        <v>1077</v>
      </c>
      <c r="X9" s="3">
        <v>506</v>
      </c>
      <c r="Y9" s="3">
        <v>667</v>
      </c>
      <c r="Z9" s="3">
        <v>548</v>
      </c>
      <c r="AA9" s="3">
        <v>551</v>
      </c>
      <c r="AB9" s="3">
        <v>616</v>
      </c>
      <c r="AC9" s="3">
        <v>643</v>
      </c>
      <c r="AD9" s="3">
        <v>578</v>
      </c>
      <c r="AE9" s="3">
        <v>947</v>
      </c>
      <c r="AF9" s="3">
        <v>655</v>
      </c>
      <c r="AG9" s="3">
        <v>796</v>
      </c>
      <c r="AH9" s="3">
        <v>663</v>
      </c>
      <c r="AI9" s="5">
        <f t="shared" si="0"/>
        <v>676.8</v>
      </c>
    </row>
    <row r="10" spans="1:37" x14ac:dyDescent="0.25">
      <c r="A10" s="1" t="s">
        <v>38</v>
      </c>
      <c r="B10" s="1" t="s">
        <v>41</v>
      </c>
      <c r="C10" s="1" t="s">
        <v>43</v>
      </c>
      <c r="D10" s="1" t="s">
        <v>0</v>
      </c>
      <c r="E10" s="3">
        <v>1400</v>
      </c>
      <c r="F10" s="3">
        <v>2150</v>
      </c>
      <c r="G10" s="3">
        <v>1390</v>
      </c>
      <c r="H10" s="3">
        <v>2760</v>
      </c>
      <c r="I10" s="3">
        <v>2190</v>
      </c>
      <c r="J10" s="3">
        <v>2040</v>
      </c>
      <c r="K10" s="3">
        <v>1400</v>
      </c>
      <c r="L10" s="3">
        <v>1410</v>
      </c>
      <c r="M10" s="3">
        <v>1910</v>
      </c>
      <c r="N10" s="3">
        <v>1920</v>
      </c>
      <c r="O10" s="3">
        <v>1550</v>
      </c>
      <c r="P10" s="3">
        <v>1000</v>
      </c>
      <c r="Q10" s="3">
        <v>1800</v>
      </c>
      <c r="R10" s="3">
        <v>1610</v>
      </c>
      <c r="S10" s="3">
        <v>1180</v>
      </c>
      <c r="T10" s="3">
        <v>1690</v>
      </c>
      <c r="U10" s="3">
        <v>1400</v>
      </c>
      <c r="V10" s="3">
        <v>986</v>
      </c>
      <c r="W10" s="3">
        <v>1350</v>
      </c>
      <c r="X10" s="3">
        <v>1490</v>
      </c>
      <c r="Y10" s="3">
        <v>1380</v>
      </c>
      <c r="Z10" s="3">
        <v>1400</v>
      </c>
      <c r="AA10" s="3">
        <v>893</v>
      </c>
      <c r="AB10" s="3">
        <v>1730</v>
      </c>
      <c r="AC10" s="3">
        <v>2670</v>
      </c>
      <c r="AD10" s="3">
        <v>1580</v>
      </c>
      <c r="AE10" s="3">
        <v>3370</v>
      </c>
      <c r="AF10" s="3">
        <v>2009.9999999999998</v>
      </c>
      <c r="AG10" s="3">
        <v>1510</v>
      </c>
      <c r="AH10" s="3">
        <v>1070</v>
      </c>
      <c r="AI10" s="5">
        <f t="shared" si="0"/>
        <v>1674.6333333333334</v>
      </c>
    </row>
    <row r="11" spans="1:37" x14ac:dyDescent="0.25">
      <c r="A11" s="1" t="s">
        <v>38</v>
      </c>
      <c r="B11" s="1" t="s">
        <v>41</v>
      </c>
      <c r="C11" s="1" t="s">
        <v>37</v>
      </c>
      <c r="D11" s="1"/>
      <c r="E11" s="6">
        <v>1791</v>
      </c>
      <c r="F11" s="3">
        <v>936</v>
      </c>
      <c r="G11" s="6">
        <v>1499</v>
      </c>
      <c r="H11" s="3">
        <v>920</v>
      </c>
      <c r="I11" s="6">
        <v>1211</v>
      </c>
      <c r="J11" s="6">
        <v>1147</v>
      </c>
      <c r="K11" s="6">
        <v>1611</v>
      </c>
      <c r="L11" s="6">
        <v>1434</v>
      </c>
      <c r="M11" s="6">
        <v>1245</v>
      </c>
      <c r="N11" s="3">
        <v>3570</v>
      </c>
      <c r="O11" s="6">
        <v>1374</v>
      </c>
      <c r="P11" s="3">
        <v>838</v>
      </c>
      <c r="Q11" s="6">
        <v>2152</v>
      </c>
      <c r="R11" s="6">
        <v>1205</v>
      </c>
      <c r="S11" s="6">
        <v>1048</v>
      </c>
      <c r="T11" s="6">
        <v>1213</v>
      </c>
      <c r="U11" s="6">
        <v>2135</v>
      </c>
      <c r="V11" s="6">
        <v>1798</v>
      </c>
      <c r="W11" s="6">
        <v>1246</v>
      </c>
      <c r="X11" s="6">
        <v>1732</v>
      </c>
      <c r="Y11" s="6">
        <v>1532</v>
      </c>
      <c r="Z11" s="6">
        <v>1375</v>
      </c>
      <c r="AA11" s="3">
        <v>908</v>
      </c>
      <c r="AB11" s="6">
        <v>1046</v>
      </c>
      <c r="AC11" s="6">
        <v>1612</v>
      </c>
      <c r="AD11" s="3">
        <v>952</v>
      </c>
      <c r="AE11" s="6">
        <v>2959</v>
      </c>
      <c r="AF11" s="6">
        <v>1203</v>
      </c>
      <c r="AG11" s="6">
        <v>1485</v>
      </c>
      <c r="AH11" s="6">
        <v>1208</v>
      </c>
      <c r="AI11" s="5">
        <f t="shared" si="0"/>
        <v>1479.5</v>
      </c>
    </row>
    <row r="12" spans="1:37" x14ac:dyDescent="0.25">
      <c r="A12" s="1" t="s">
        <v>42</v>
      </c>
      <c r="B12" s="1" t="s">
        <v>45</v>
      </c>
      <c r="C12" s="1" t="s">
        <v>43</v>
      </c>
      <c r="D12" s="1" t="s">
        <v>0</v>
      </c>
      <c r="E12" s="3">
        <v>2790</v>
      </c>
      <c r="F12" s="3">
        <v>2610</v>
      </c>
      <c r="G12" s="3">
        <v>3850</v>
      </c>
      <c r="H12" s="3">
        <v>2680</v>
      </c>
      <c r="I12" s="3">
        <v>3160</v>
      </c>
      <c r="J12" s="3">
        <v>3210</v>
      </c>
      <c r="K12" s="3">
        <v>3780</v>
      </c>
      <c r="L12" s="3">
        <v>3560</v>
      </c>
      <c r="M12" s="3">
        <v>2800</v>
      </c>
      <c r="N12" s="3">
        <v>4440</v>
      </c>
      <c r="O12" s="3">
        <v>2620</v>
      </c>
      <c r="P12" s="3">
        <v>2710</v>
      </c>
      <c r="Q12" s="3">
        <v>2990</v>
      </c>
      <c r="R12" s="3">
        <v>2770</v>
      </c>
      <c r="S12" s="3">
        <v>2890</v>
      </c>
      <c r="T12" s="3">
        <v>2310</v>
      </c>
      <c r="U12" s="3">
        <v>4040</v>
      </c>
      <c r="V12" s="3">
        <v>3560</v>
      </c>
      <c r="W12" s="3">
        <v>2520</v>
      </c>
      <c r="X12" s="3">
        <v>2760</v>
      </c>
      <c r="Y12" s="3">
        <v>3290</v>
      </c>
      <c r="Z12" s="3">
        <v>2590</v>
      </c>
      <c r="AA12" s="3">
        <v>2950</v>
      </c>
      <c r="AB12" s="3">
        <v>2560</v>
      </c>
      <c r="AC12" s="3">
        <v>2400</v>
      </c>
      <c r="AD12" s="3">
        <v>2760</v>
      </c>
      <c r="AE12" s="3">
        <v>5850</v>
      </c>
      <c r="AF12" s="3">
        <v>2840</v>
      </c>
      <c r="AG12" s="3">
        <v>2390</v>
      </c>
      <c r="AH12" s="3">
        <v>4370</v>
      </c>
      <c r="AI12" s="5">
        <f t="shared" si="0"/>
        <v>3135</v>
      </c>
    </row>
    <row r="13" spans="1:37" x14ac:dyDescent="0.25">
      <c r="A13" s="1" t="s">
        <v>42</v>
      </c>
      <c r="B13" s="1" t="s">
        <v>45</v>
      </c>
      <c r="C13" s="1" t="s">
        <v>37</v>
      </c>
      <c r="D13" s="1"/>
      <c r="E13" s="6">
        <v>2214</v>
      </c>
      <c r="F13" s="6">
        <v>1539</v>
      </c>
      <c r="G13" s="3">
        <v>1540</v>
      </c>
      <c r="H13" s="6">
        <v>1525</v>
      </c>
      <c r="I13" s="6">
        <v>1642</v>
      </c>
      <c r="J13" s="6">
        <v>1827</v>
      </c>
      <c r="K13" s="6">
        <v>2241</v>
      </c>
      <c r="L13" s="6">
        <v>1942</v>
      </c>
      <c r="M13" s="6">
        <v>1955</v>
      </c>
      <c r="N13" s="6">
        <v>3187</v>
      </c>
      <c r="O13" s="3">
        <v>1500</v>
      </c>
      <c r="P13" s="6">
        <v>1983</v>
      </c>
      <c r="Q13" s="6">
        <v>2006</v>
      </c>
      <c r="R13" s="6">
        <v>1483</v>
      </c>
      <c r="S13" s="6">
        <v>1418</v>
      </c>
      <c r="T13" s="6">
        <v>1715</v>
      </c>
      <c r="U13" s="6">
        <v>3534</v>
      </c>
      <c r="V13" s="6">
        <v>1457</v>
      </c>
      <c r="W13" s="6">
        <v>1467</v>
      </c>
      <c r="X13" s="6">
        <v>1518</v>
      </c>
      <c r="Y13" s="6">
        <v>1932</v>
      </c>
      <c r="Z13" s="6">
        <v>2018</v>
      </c>
      <c r="AA13" s="6">
        <v>1454</v>
      </c>
      <c r="AB13" s="6">
        <v>1834</v>
      </c>
      <c r="AC13" s="6">
        <v>1933</v>
      </c>
      <c r="AD13" s="6">
        <v>1624</v>
      </c>
      <c r="AE13" s="6">
        <v>3549</v>
      </c>
      <c r="AF13" s="6">
        <v>1714</v>
      </c>
      <c r="AG13" s="6">
        <v>1509</v>
      </c>
      <c r="AH13" s="6">
        <v>2246</v>
      </c>
      <c r="AI13" s="5">
        <f t="shared" si="0"/>
        <v>1916.8666666666666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0E45-9DC2-48EB-A454-8EB5D3B99A52}">
  <dimension ref="A2:AH8"/>
  <sheetViews>
    <sheetView workbookViewId="0">
      <selection activeCell="C11" sqref="C11"/>
    </sheetView>
  </sheetViews>
  <sheetFormatPr defaultRowHeight="15" x14ac:dyDescent="0.25"/>
  <cols>
    <col min="1" max="1" width="12.85546875" customWidth="1"/>
    <col min="2" max="2" width="25.28515625" customWidth="1"/>
    <col min="3" max="23" width="9.140625" customWidth="1"/>
    <col min="24" max="32" width="5.5703125" bestFit="1" customWidth="1"/>
    <col min="33" max="33" width="12.85546875" bestFit="1" customWidth="1"/>
  </cols>
  <sheetData>
    <row r="2" spans="1:34" x14ac:dyDescent="0.25">
      <c r="AG2" t="s">
        <v>35</v>
      </c>
    </row>
    <row r="3" spans="1:34" x14ac:dyDescent="0.25">
      <c r="A3" s="1" t="s">
        <v>49</v>
      </c>
      <c r="B3" s="1" t="s">
        <v>36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55</v>
      </c>
    </row>
    <row r="4" spans="1:34" x14ac:dyDescent="0.25">
      <c r="A4" s="1" t="s">
        <v>50</v>
      </c>
      <c r="B4" s="1" t="s">
        <v>37</v>
      </c>
      <c r="C4" s="3">
        <v>865</v>
      </c>
      <c r="D4" s="6">
        <v>1838</v>
      </c>
      <c r="E4" s="6">
        <v>1627</v>
      </c>
      <c r="F4" s="3">
        <v>727</v>
      </c>
      <c r="G4" s="6">
        <v>1379</v>
      </c>
      <c r="H4" s="6">
        <v>1111</v>
      </c>
      <c r="I4" s="6">
        <v>1113</v>
      </c>
      <c r="J4" s="6">
        <v>1429</v>
      </c>
      <c r="K4" s="6">
        <v>1498</v>
      </c>
      <c r="L4" s="6">
        <v>1356</v>
      </c>
      <c r="M4" s="3">
        <v>769</v>
      </c>
      <c r="N4" s="3">
        <v>955</v>
      </c>
      <c r="O4" s="6">
        <v>1275</v>
      </c>
      <c r="P4" s="3">
        <v>834</v>
      </c>
      <c r="Q4" s="6">
        <v>1402</v>
      </c>
      <c r="R4" s="3">
        <v>857</v>
      </c>
      <c r="S4" s="3">
        <v>788</v>
      </c>
      <c r="T4" s="3">
        <v>765</v>
      </c>
      <c r="U4" s="3">
        <v>810</v>
      </c>
      <c r="V4" s="3">
        <v>741</v>
      </c>
      <c r="W4" s="3">
        <v>800</v>
      </c>
      <c r="X4" s="3">
        <v>731</v>
      </c>
      <c r="Y4" s="3">
        <v>800</v>
      </c>
      <c r="Z4" s="3">
        <v>723</v>
      </c>
      <c r="AA4" s="3">
        <v>778</v>
      </c>
      <c r="AB4" s="3">
        <v>804</v>
      </c>
      <c r="AC4" s="3">
        <v>894</v>
      </c>
      <c r="AD4" s="3">
        <v>733</v>
      </c>
      <c r="AE4" s="3">
        <v>763</v>
      </c>
      <c r="AF4" s="3">
        <v>697</v>
      </c>
      <c r="AG4" s="5">
        <f>AVERAGE(C4:AF4)</f>
        <v>995.4</v>
      </c>
      <c r="AH4" s="4"/>
    </row>
    <row r="5" spans="1:34" x14ac:dyDescent="0.25">
      <c r="A5" s="1" t="s">
        <v>51</v>
      </c>
      <c r="B5" s="1" t="s">
        <v>37</v>
      </c>
      <c r="C5" s="6">
        <v>1229</v>
      </c>
      <c r="D5" s="6">
        <v>1376</v>
      </c>
      <c r="E5" s="3">
        <v>1330</v>
      </c>
      <c r="F5" s="3">
        <v>1630</v>
      </c>
      <c r="G5" s="6">
        <v>1023</v>
      </c>
      <c r="H5" s="6">
        <v>2739</v>
      </c>
      <c r="I5" s="6">
        <v>1104</v>
      </c>
      <c r="J5" s="6">
        <v>2859</v>
      </c>
      <c r="K5" s="3">
        <v>919</v>
      </c>
      <c r="L5" s="6">
        <v>1882</v>
      </c>
      <c r="M5" s="6">
        <v>1144</v>
      </c>
      <c r="N5" s="6">
        <v>1003</v>
      </c>
      <c r="O5" s="6">
        <v>1069</v>
      </c>
      <c r="P5" s="6">
        <v>1168</v>
      </c>
      <c r="Q5" s="6">
        <v>1076</v>
      </c>
      <c r="R5" s="6">
        <v>1013</v>
      </c>
      <c r="S5" s="6">
        <v>1131</v>
      </c>
      <c r="T5" s="6">
        <v>1199</v>
      </c>
      <c r="U5" s="3">
        <v>1930</v>
      </c>
      <c r="V5" s="6">
        <v>1223</v>
      </c>
      <c r="W5" s="6">
        <v>2286</v>
      </c>
      <c r="X5" s="6">
        <v>2976</v>
      </c>
      <c r="Y5" s="6">
        <v>1747</v>
      </c>
      <c r="Z5" s="6">
        <v>1031</v>
      </c>
      <c r="AA5" s="6">
        <v>3517</v>
      </c>
      <c r="AB5" s="6">
        <v>4594</v>
      </c>
      <c r="AC5" s="6">
        <v>9246</v>
      </c>
      <c r="AD5" s="6">
        <v>1642</v>
      </c>
      <c r="AE5" s="3">
        <v>905</v>
      </c>
      <c r="AF5" s="6">
        <v>1289</v>
      </c>
      <c r="AG5" s="5">
        <f t="shared" ref="AG5:AG8" si="0">AVERAGE(C5:AF5)</f>
        <v>1909.3333333333333</v>
      </c>
    </row>
    <row r="6" spans="1:34" x14ac:dyDescent="0.25">
      <c r="A6" s="1" t="s">
        <v>52</v>
      </c>
      <c r="B6" s="1" t="s">
        <v>37</v>
      </c>
      <c r="C6" s="3">
        <v>755</v>
      </c>
      <c r="D6" s="3">
        <v>521</v>
      </c>
      <c r="E6" s="3">
        <v>614</v>
      </c>
      <c r="F6" s="3">
        <v>567</v>
      </c>
      <c r="G6" s="3">
        <v>529</v>
      </c>
      <c r="H6" s="3">
        <v>487</v>
      </c>
      <c r="I6" s="3">
        <v>690</v>
      </c>
      <c r="J6" s="6">
        <v>1004</v>
      </c>
      <c r="K6" s="3">
        <v>634</v>
      </c>
      <c r="L6" s="6">
        <v>1063</v>
      </c>
      <c r="M6" s="3">
        <v>584</v>
      </c>
      <c r="N6" s="3">
        <v>545</v>
      </c>
      <c r="O6" s="3">
        <v>1010</v>
      </c>
      <c r="P6" s="3">
        <v>340</v>
      </c>
      <c r="Q6" s="3">
        <v>887</v>
      </c>
      <c r="R6" s="3">
        <v>603</v>
      </c>
      <c r="S6" s="3">
        <v>653</v>
      </c>
      <c r="T6" s="3">
        <v>571</v>
      </c>
      <c r="U6" s="6">
        <v>1077</v>
      </c>
      <c r="V6" s="3">
        <v>506</v>
      </c>
      <c r="W6" s="3">
        <v>667</v>
      </c>
      <c r="X6" s="3">
        <v>548</v>
      </c>
      <c r="Y6" s="3">
        <v>551</v>
      </c>
      <c r="Z6" s="3">
        <v>616</v>
      </c>
      <c r="AA6" s="3">
        <v>643</v>
      </c>
      <c r="AB6" s="3">
        <v>578</v>
      </c>
      <c r="AC6" s="3">
        <v>947</v>
      </c>
      <c r="AD6" s="3">
        <v>655</v>
      </c>
      <c r="AE6" s="3">
        <v>796</v>
      </c>
      <c r="AF6" s="3">
        <v>663</v>
      </c>
      <c r="AG6" s="5">
        <f t="shared" si="0"/>
        <v>676.8</v>
      </c>
    </row>
    <row r="7" spans="1:34" x14ac:dyDescent="0.25">
      <c r="A7" s="1" t="s">
        <v>53</v>
      </c>
      <c r="B7" s="1" t="s">
        <v>37</v>
      </c>
      <c r="C7" s="6">
        <v>1791</v>
      </c>
      <c r="D7" s="3">
        <v>936</v>
      </c>
      <c r="E7" s="6">
        <v>1499</v>
      </c>
      <c r="F7" s="3">
        <v>920</v>
      </c>
      <c r="G7" s="6">
        <v>1211</v>
      </c>
      <c r="H7" s="6">
        <v>1147</v>
      </c>
      <c r="I7" s="6">
        <v>1611</v>
      </c>
      <c r="J7" s="6">
        <v>1434</v>
      </c>
      <c r="K7" s="6">
        <v>1245</v>
      </c>
      <c r="L7" s="3">
        <v>3570</v>
      </c>
      <c r="M7" s="6">
        <v>1374</v>
      </c>
      <c r="N7" s="3">
        <v>838</v>
      </c>
      <c r="O7" s="6">
        <v>2152</v>
      </c>
      <c r="P7" s="6">
        <v>1205</v>
      </c>
      <c r="Q7" s="6">
        <v>1048</v>
      </c>
      <c r="R7" s="6">
        <v>1213</v>
      </c>
      <c r="S7" s="6">
        <v>2135</v>
      </c>
      <c r="T7" s="6">
        <v>1798</v>
      </c>
      <c r="U7" s="6">
        <v>1246</v>
      </c>
      <c r="V7" s="6">
        <v>1732</v>
      </c>
      <c r="W7" s="6">
        <v>1532</v>
      </c>
      <c r="X7" s="6">
        <v>1375</v>
      </c>
      <c r="Y7" s="3">
        <v>908</v>
      </c>
      <c r="Z7" s="6">
        <v>1046</v>
      </c>
      <c r="AA7" s="6">
        <v>1612</v>
      </c>
      <c r="AB7" s="3">
        <v>952</v>
      </c>
      <c r="AC7" s="6">
        <v>2959</v>
      </c>
      <c r="AD7" s="6">
        <v>1203</v>
      </c>
      <c r="AE7" s="6">
        <v>1485</v>
      </c>
      <c r="AF7" s="6">
        <v>1208</v>
      </c>
      <c r="AG7" s="5">
        <f t="shared" si="0"/>
        <v>1479.5</v>
      </c>
    </row>
    <row r="8" spans="1:34" x14ac:dyDescent="0.25">
      <c r="A8" s="1" t="s">
        <v>54</v>
      </c>
      <c r="B8" s="1" t="s">
        <v>37</v>
      </c>
      <c r="C8" s="6">
        <v>2214</v>
      </c>
      <c r="D8" s="6">
        <v>1539</v>
      </c>
      <c r="E8" s="3">
        <v>1540</v>
      </c>
      <c r="F8" s="6">
        <v>1525</v>
      </c>
      <c r="G8" s="6">
        <v>1642</v>
      </c>
      <c r="H8" s="6">
        <v>1827</v>
      </c>
      <c r="I8" s="6">
        <v>2241</v>
      </c>
      <c r="J8" s="6">
        <v>1942</v>
      </c>
      <c r="K8" s="6">
        <v>1955</v>
      </c>
      <c r="L8" s="6">
        <v>3187</v>
      </c>
      <c r="M8" s="3">
        <v>1500</v>
      </c>
      <c r="N8" s="6">
        <v>1983</v>
      </c>
      <c r="O8" s="6">
        <v>2006</v>
      </c>
      <c r="P8" s="6">
        <v>1483</v>
      </c>
      <c r="Q8" s="6">
        <v>1418</v>
      </c>
      <c r="R8" s="6">
        <v>1715</v>
      </c>
      <c r="S8" s="6">
        <v>3534</v>
      </c>
      <c r="T8" s="6">
        <v>1457</v>
      </c>
      <c r="U8" s="6">
        <v>1467</v>
      </c>
      <c r="V8" s="6">
        <v>1518</v>
      </c>
      <c r="W8" s="6">
        <v>1932</v>
      </c>
      <c r="X8" s="6">
        <v>2018</v>
      </c>
      <c r="Y8" s="6">
        <v>1454</v>
      </c>
      <c r="Z8" s="6">
        <v>1834</v>
      </c>
      <c r="AA8" s="6">
        <v>1933</v>
      </c>
      <c r="AB8" s="6">
        <v>1624</v>
      </c>
      <c r="AC8" s="6">
        <v>3549</v>
      </c>
      <c r="AD8" s="6">
        <v>1714</v>
      </c>
      <c r="AE8" s="6">
        <v>1509</v>
      </c>
      <c r="AF8" s="6">
        <v>2246</v>
      </c>
      <c r="AG8" s="5">
        <f t="shared" si="0"/>
        <v>1916.8666666666666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6600-4F23-470C-A732-C7CE6EF3FE98}">
  <dimension ref="B4:AJ9"/>
  <sheetViews>
    <sheetView topLeftCell="A2" zoomScale="102" workbookViewId="0">
      <selection activeCell="Q17" sqref="Q17"/>
    </sheetView>
  </sheetViews>
  <sheetFormatPr defaultRowHeight="15" x14ac:dyDescent="0.25"/>
  <cols>
    <col min="2" max="2" width="10" bestFit="1" customWidth="1"/>
    <col min="3" max="3" width="7.140625" bestFit="1" customWidth="1"/>
    <col min="4" max="4" width="25.28515625" bestFit="1" customWidth="1"/>
    <col min="5" max="5" width="18.7109375" bestFit="1" customWidth="1"/>
    <col min="6" max="35" width="5" bestFit="1" customWidth="1"/>
    <col min="36" max="36" width="22" bestFit="1" customWidth="1"/>
  </cols>
  <sheetData>
    <row r="4" spans="2:36" x14ac:dyDescent="0.25">
      <c r="B4" s="1" t="s">
        <v>1</v>
      </c>
      <c r="C4" s="1" t="s">
        <v>2</v>
      </c>
      <c r="D4" s="1" t="s">
        <v>36</v>
      </c>
      <c r="E4" s="1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48</v>
      </c>
    </row>
    <row r="5" spans="2:36" x14ac:dyDescent="0.25">
      <c r="B5" s="1" t="s">
        <v>3</v>
      </c>
      <c r="C5" s="1" t="s">
        <v>44</v>
      </c>
      <c r="D5" s="1" t="s">
        <v>43</v>
      </c>
      <c r="E5" s="1" t="s">
        <v>0</v>
      </c>
      <c r="F5" s="1">
        <v>1310</v>
      </c>
      <c r="G5" s="1">
        <v>836</v>
      </c>
      <c r="H5" s="1">
        <v>1330</v>
      </c>
      <c r="I5" s="1">
        <v>1540</v>
      </c>
      <c r="J5" s="1">
        <v>932</v>
      </c>
      <c r="K5" s="1">
        <v>863</v>
      </c>
      <c r="L5" s="1">
        <v>1310</v>
      </c>
      <c r="M5" s="1">
        <v>1000</v>
      </c>
      <c r="N5" s="1">
        <v>924</v>
      </c>
      <c r="O5" s="1">
        <v>1800</v>
      </c>
      <c r="P5" s="1">
        <v>1780</v>
      </c>
      <c r="Q5" s="1">
        <v>887</v>
      </c>
      <c r="R5" s="1">
        <v>2009.9999999999998</v>
      </c>
      <c r="S5" s="1">
        <v>1450</v>
      </c>
      <c r="T5" s="1">
        <v>890</v>
      </c>
      <c r="U5" s="1">
        <v>1300</v>
      </c>
      <c r="V5" s="1">
        <v>1310</v>
      </c>
      <c r="W5" s="1">
        <v>1250</v>
      </c>
      <c r="X5" s="1">
        <v>956</v>
      </c>
      <c r="Y5" s="1">
        <v>1130</v>
      </c>
      <c r="Z5" s="1">
        <v>1910</v>
      </c>
      <c r="AA5" s="1">
        <v>1100</v>
      </c>
      <c r="AB5" s="1">
        <v>1910</v>
      </c>
      <c r="AC5" s="1">
        <v>1260</v>
      </c>
      <c r="AD5" s="1">
        <v>1360</v>
      </c>
      <c r="AE5" s="1">
        <v>945</v>
      </c>
      <c r="AF5" s="1">
        <v>1420</v>
      </c>
      <c r="AG5" s="1">
        <v>1520</v>
      </c>
      <c r="AH5" s="1">
        <v>1130</v>
      </c>
      <c r="AI5" s="1">
        <v>1080</v>
      </c>
      <c r="AJ5" s="2">
        <f>AVERAGE(F5:AI5)</f>
        <v>1281.4333333333334</v>
      </c>
    </row>
    <row r="6" spans="2:36" x14ac:dyDescent="0.25">
      <c r="B6" s="1" t="s">
        <v>3</v>
      </c>
      <c r="C6" s="1" t="s">
        <v>4</v>
      </c>
      <c r="D6" s="1" t="s">
        <v>43</v>
      </c>
      <c r="E6" s="1" t="s">
        <v>0</v>
      </c>
      <c r="F6" s="1">
        <v>2290</v>
      </c>
      <c r="G6" s="1">
        <v>3480</v>
      </c>
      <c r="H6" s="1">
        <v>2140</v>
      </c>
      <c r="I6" s="1">
        <v>2600</v>
      </c>
      <c r="J6" s="1">
        <v>1860</v>
      </c>
      <c r="K6" s="1">
        <v>1570</v>
      </c>
      <c r="L6" s="1">
        <v>3020</v>
      </c>
      <c r="M6" s="1">
        <v>1270</v>
      </c>
      <c r="N6" s="1">
        <v>3360</v>
      </c>
      <c r="O6" s="1">
        <v>1250</v>
      </c>
      <c r="P6" s="1">
        <v>1670</v>
      </c>
      <c r="Q6" s="1">
        <v>1550</v>
      </c>
      <c r="R6" s="1">
        <v>1340</v>
      </c>
      <c r="S6" s="1">
        <v>1220</v>
      </c>
      <c r="T6" s="1">
        <v>2620</v>
      </c>
      <c r="U6" s="1">
        <v>3980</v>
      </c>
      <c r="V6" s="1">
        <v>2950</v>
      </c>
      <c r="W6" s="1">
        <v>1580</v>
      </c>
      <c r="X6" s="1">
        <v>1730</v>
      </c>
      <c r="Y6" s="1">
        <v>1410</v>
      </c>
      <c r="Z6" s="1">
        <v>1530</v>
      </c>
      <c r="AA6" s="1">
        <v>3060</v>
      </c>
      <c r="AB6" s="1">
        <v>1390</v>
      </c>
      <c r="AC6" s="1">
        <v>2930</v>
      </c>
      <c r="AD6" s="1">
        <v>2600</v>
      </c>
      <c r="AE6" s="1">
        <v>2770</v>
      </c>
      <c r="AF6" s="1">
        <v>1450</v>
      </c>
      <c r="AG6" s="1">
        <v>1730</v>
      </c>
      <c r="AH6" s="1">
        <v>3000</v>
      </c>
      <c r="AI6" s="1">
        <v>1420</v>
      </c>
      <c r="AJ6" s="2">
        <f t="shared" ref="AJ6:AJ9" si="0">AVERAGE(F6:AI6)</f>
        <v>2159</v>
      </c>
    </row>
    <row r="7" spans="2:36" x14ac:dyDescent="0.25">
      <c r="B7" s="1" t="s">
        <v>38</v>
      </c>
      <c r="C7" s="1" t="s">
        <v>40</v>
      </c>
      <c r="D7" s="1" t="s">
        <v>43</v>
      </c>
      <c r="E7" s="1" t="s">
        <v>0</v>
      </c>
      <c r="F7" s="1">
        <v>705</v>
      </c>
      <c r="G7" s="1">
        <v>1320</v>
      </c>
      <c r="H7" s="1">
        <v>1470</v>
      </c>
      <c r="I7" s="1">
        <v>1290</v>
      </c>
      <c r="J7" s="1">
        <v>1890</v>
      </c>
      <c r="K7" s="1">
        <v>674</v>
      </c>
      <c r="L7" s="1">
        <v>845</v>
      </c>
      <c r="M7" s="1">
        <v>726</v>
      </c>
      <c r="N7" s="1">
        <v>1080</v>
      </c>
      <c r="O7" s="1">
        <v>1850</v>
      </c>
      <c r="P7" s="1">
        <v>856</v>
      </c>
      <c r="Q7" s="1">
        <v>1750</v>
      </c>
      <c r="R7" s="1">
        <v>1070</v>
      </c>
      <c r="S7" s="1">
        <v>1150</v>
      </c>
      <c r="T7" s="1">
        <v>694</v>
      </c>
      <c r="U7" s="1">
        <v>1190</v>
      </c>
      <c r="V7" s="1">
        <v>1100</v>
      </c>
      <c r="W7" s="1">
        <v>1150</v>
      </c>
      <c r="X7" s="1">
        <v>807</v>
      </c>
      <c r="Y7" s="1">
        <v>957</v>
      </c>
      <c r="Z7" s="1">
        <v>995</v>
      </c>
      <c r="AA7" s="1">
        <v>981</v>
      </c>
      <c r="AB7" s="1">
        <v>1080</v>
      </c>
      <c r="AC7" s="1">
        <v>1660</v>
      </c>
      <c r="AD7" s="1">
        <v>887</v>
      </c>
      <c r="AE7" s="1">
        <v>907</v>
      </c>
      <c r="AF7" s="1">
        <v>1170</v>
      </c>
      <c r="AG7" s="1">
        <v>1010</v>
      </c>
      <c r="AH7" s="1">
        <v>1100</v>
      </c>
      <c r="AI7" s="1">
        <v>1350</v>
      </c>
      <c r="AJ7" s="2">
        <f t="shared" si="0"/>
        <v>1123.8</v>
      </c>
    </row>
    <row r="8" spans="2:36" x14ac:dyDescent="0.25">
      <c r="B8" s="1" t="s">
        <v>38</v>
      </c>
      <c r="C8" s="1" t="s">
        <v>41</v>
      </c>
      <c r="D8" s="1" t="s">
        <v>43</v>
      </c>
      <c r="E8" s="1" t="s">
        <v>0</v>
      </c>
      <c r="F8" s="1">
        <v>1400</v>
      </c>
      <c r="G8" s="1">
        <v>2150</v>
      </c>
      <c r="H8" s="1">
        <v>1390</v>
      </c>
      <c r="I8" s="1">
        <v>2760</v>
      </c>
      <c r="J8" s="1">
        <v>2190</v>
      </c>
      <c r="K8" s="1">
        <v>2040</v>
      </c>
      <c r="L8" s="1">
        <v>1400</v>
      </c>
      <c r="M8" s="1">
        <v>1410</v>
      </c>
      <c r="N8" s="1">
        <v>1910</v>
      </c>
      <c r="O8" s="1">
        <v>1920</v>
      </c>
      <c r="P8" s="1">
        <v>1550</v>
      </c>
      <c r="Q8" s="1">
        <v>1000</v>
      </c>
      <c r="R8" s="1">
        <v>1800</v>
      </c>
      <c r="S8" s="1">
        <v>1610</v>
      </c>
      <c r="T8" s="1">
        <v>1180</v>
      </c>
      <c r="U8" s="1">
        <v>1690</v>
      </c>
      <c r="V8" s="1">
        <v>1400</v>
      </c>
      <c r="W8" s="1">
        <v>986</v>
      </c>
      <c r="X8" s="1">
        <v>1350</v>
      </c>
      <c r="Y8" s="1">
        <v>1490</v>
      </c>
      <c r="Z8" s="1">
        <v>1380</v>
      </c>
      <c r="AA8" s="1">
        <v>1400</v>
      </c>
      <c r="AB8" s="1">
        <v>893</v>
      </c>
      <c r="AC8" s="1">
        <v>1730</v>
      </c>
      <c r="AD8" s="1">
        <v>2670</v>
      </c>
      <c r="AE8" s="1">
        <v>1580</v>
      </c>
      <c r="AF8" s="1">
        <v>3370</v>
      </c>
      <c r="AG8" s="1">
        <v>2009.9999999999998</v>
      </c>
      <c r="AH8" s="1">
        <v>1510</v>
      </c>
      <c r="AI8" s="1">
        <v>1070</v>
      </c>
      <c r="AJ8" s="2">
        <f t="shared" si="0"/>
        <v>1674.6333333333334</v>
      </c>
    </row>
    <row r="9" spans="2:36" x14ac:dyDescent="0.25">
      <c r="B9" s="1" t="s">
        <v>42</v>
      </c>
      <c r="C9" s="1" t="s">
        <v>45</v>
      </c>
      <c r="D9" s="1" t="s">
        <v>43</v>
      </c>
      <c r="E9" s="1" t="s">
        <v>0</v>
      </c>
      <c r="F9" s="1">
        <v>2790</v>
      </c>
      <c r="G9" s="1">
        <v>2610</v>
      </c>
      <c r="H9" s="1">
        <v>3850</v>
      </c>
      <c r="I9" s="1">
        <v>2680</v>
      </c>
      <c r="J9" s="1">
        <v>3160</v>
      </c>
      <c r="K9" s="1">
        <v>3210</v>
      </c>
      <c r="L9" s="1">
        <v>3780</v>
      </c>
      <c r="M9" s="1">
        <v>3560</v>
      </c>
      <c r="N9" s="1">
        <v>2800</v>
      </c>
      <c r="O9" s="1">
        <v>4440</v>
      </c>
      <c r="P9" s="1">
        <v>2620</v>
      </c>
      <c r="Q9" s="1">
        <v>2710</v>
      </c>
      <c r="R9" s="1">
        <v>2990</v>
      </c>
      <c r="S9" s="1">
        <v>2770</v>
      </c>
      <c r="T9" s="1">
        <v>2890</v>
      </c>
      <c r="U9" s="1">
        <v>2310</v>
      </c>
      <c r="V9" s="1">
        <v>4040</v>
      </c>
      <c r="W9" s="1">
        <v>3560</v>
      </c>
      <c r="X9" s="1">
        <v>2520</v>
      </c>
      <c r="Y9" s="1">
        <v>2760</v>
      </c>
      <c r="Z9" s="1">
        <v>3290</v>
      </c>
      <c r="AA9" s="1">
        <v>2590</v>
      </c>
      <c r="AB9" s="1">
        <v>2950</v>
      </c>
      <c r="AC9" s="1">
        <v>2560</v>
      </c>
      <c r="AD9" s="1">
        <v>2400</v>
      </c>
      <c r="AE9" s="1">
        <v>2760</v>
      </c>
      <c r="AF9" s="1">
        <v>5850</v>
      </c>
      <c r="AG9" s="1">
        <v>2840</v>
      </c>
      <c r="AH9" s="1">
        <v>2390</v>
      </c>
      <c r="AI9" s="1">
        <v>4370</v>
      </c>
      <c r="AJ9" s="2">
        <f t="shared" si="0"/>
        <v>3135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Tokens Totais(Geral)</vt:lpstr>
      <vt:lpstr>Tokens Totais Python</vt:lpstr>
      <vt:lpstr>Postman Token</vt:lpstr>
      <vt:lpstr>Latencia(ms)(geral)</vt:lpstr>
      <vt:lpstr>Teste Python(ms)</vt:lpstr>
      <vt:lpstr>Postman(ms)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Luiza</dc:creator>
  <cp:lastModifiedBy>Matheus Dias</cp:lastModifiedBy>
  <dcterms:created xsi:type="dcterms:W3CDTF">2025-09-08T00:46:26Z</dcterms:created>
  <dcterms:modified xsi:type="dcterms:W3CDTF">2025-11-13T22:54:01Z</dcterms:modified>
</cp:coreProperties>
</file>